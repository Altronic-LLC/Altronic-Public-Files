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Override PartName="/xl/worksheets/sheet6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T2O" sheetId="4" r:id="rId1"/>
    <sheet name="O2T" sheetId="5" r:id="rId2"/>
    <sheet name="CFG" sheetId="11" r:id="rId3"/>
    <sheet name="sensor (68h)" sheetId="7" r:id="rId4"/>
    <sheet name="vsm (69h)" sheetId="8" r:id="rId5"/>
    <sheet name="log (70h)" sheetId="9" r:id="rId6"/>
  </sheets>
  <calcPr calcId="145621"/>
</workbook>
</file>

<file path=xl/calcChain.xml><?xml version="1.0" encoding="utf-8"?>
<calcChain xmlns="http://schemas.openxmlformats.org/spreadsheetml/2006/main">
  <c r="C19" i="11" l="1"/>
  <c r="C21" i="11"/>
  <c r="C33" i="11" s="1"/>
  <c r="C45" i="11" s="1"/>
  <c r="C57" i="11" s="1"/>
  <c r="C69" i="11" s="1"/>
  <c r="C81" i="11" s="1"/>
  <c r="C93" i="11" s="1"/>
  <c r="C23" i="11"/>
  <c r="C25" i="11"/>
  <c r="C31" i="11"/>
  <c r="C43" i="11" s="1"/>
  <c r="C55" i="11" s="1"/>
  <c r="C67" i="11" s="1"/>
  <c r="C79" i="11" s="1"/>
  <c r="C91" i="11" s="1"/>
  <c r="C35" i="11"/>
  <c r="C47" i="11" s="1"/>
  <c r="C59" i="11" s="1"/>
  <c r="C71" i="11" s="1"/>
  <c r="C83" i="11" s="1"/>
  <c r="C95" i="11" s="1"/>
  <c r="C37" i="11"/>
  <c r="C49" i="11" s="1"/>
  <c r="C61" i="11" s="1"/>
  <c r="C73" i="11" s="1"/>
  <c r="C85" i="11" s="1"/>
  <c r="C97" i="11" s="1"/>
  <c r="C17" i="11"/>
  <c r="C29" i="11" s="1"/>
  <c r="C41" i="11" s="1"/>
  <c r="C53" i="11" s="1"/>
  <c r="C65" i="11" s="1"/>
  <c r="C77" i="11" s="1"/>
  <c r="C89" i="11" s="1"/>
  <c r="I14" i="7" l="1"/>
  <c r="J14" i="7" s="1"/>
  <c r="K14" i="7" s="1"/>
  <c r="L14" i="7" s="1"/>
  <c r="M14" i="7" s="1"/>
  <c r="N14" i="7" s="1"/>
  <c r="O14" i="7" s="1"/>
  <c r="I15" i="7"/>
  <c r="J15" i="7"/>
  <c r="K15" i="7" s="1"/>
  <c r="L15" i="7" s="1"/>
  <c r="M15" i="7" s="1"/>
  <c r="N15" i="7" s="1"/>
  <c r="O15" i="7" s="1"/>
  <c r="C4" i="5"/>
  <c r="C5" i="5" s="1"/>
  <c r="C6" i="5" s="1"/>
  <c r="C7" i="5" s="1"/>
  <c r="C8" i="5" s="1"/>
  <c r="C9" i="5" s="1"/>
  <c r="C10" i="5" s="1"/>
  <c r="C13" i="4" l="1"/>
  <c r="C14" i="4" s="1"/>
  <c r="C15" i="4" s="1"/>
  <c r="C16" i="4" s="1"/>
  <c r="I13" i="7"/>
  <c r="J13" i="7" s="1"/>
  <c r="K13" i="7" s="1"/>
  <c r="L13" i="7" s="1"/>
  <c r="M13" i="7" s="1"/>
  <c r="N13" i="7" s="1"/>
  <c r="O13" i="7" s="1"/>
  <c r="I12" i="7"/>
  <c r="J12" i="7" s="1"/>
  <c r="K12" i="7" s="1"/>
  <c r="L12" i="7" s="1"/>
  <c r="M12" i="7" s="1"/>
  <c r="N12" i="7" s="1"/>
  <c r="O12" i="7" s="1"/>
  <c r="I11" i="7"/>
  <c r="J11" i="7" s="1"/>
  <c r="K11" i="7" s="1"/>
  <c r="L11" i="7" s="1"/>
  <c r="M11" i="7" s="1"/>
  <c r="N11" i="7" s="1"/>
  <c r="O11" i="7" s="1"/>
  <c r="I10" i="7"/>
  <c r="J10" i="7" s="1"/>
  <c r="K10" i="7" s="1"/>
  <c r="L10" i="7" s="1"/>
  <c r="M10" i="7" s="1"/>
  <c r="N10" i="7" s="1"/>
  <c r="O10" i="7" s="1"/>
  <c r="I9" i="7"/>
  <c r="J9" i="7" s="1"/>
  <c r="K9" i="7" s="1"/>
  <c r="L9" i="7" s="1"/>
  <c r="M9" i="7" s="1"/>
  <c r="N9" i="7" s="1"/>
  <c r="O9" i="7" s="1"/>
  <c r="I8" i="7"/>
  <c r="J8" i="7" s="1"/>
  <c r="K8" i="7" s="1"/>
  <c r="L8" i="7" s="1"/>
  <c r="M8" i="7" s="1"/>
  <c r="N8" i="7" s="1"/>
  <c r="O8" i="7" s="1"/>
  <c r="I7" i="7"/>
  <c r="J7" i="7" s="1"/>
  <c r="K7" i="7" s="1"/>
  <c r="L7" i="7" s="1"/>
  <c r="M7" i="7" s="1"/>
  <c r="N7" i="7" s="1"/>
  <c r="O7" i="7" s="1"/>
  <c r="I6" i="7"/>
  <c r="J6" i="7" s="1"/>
  <c r="K6" i="7" s="1"/>
  <c r="L6" i="7" s="1"/>
  <c r="M6" i="7" s="1"/>
  <c r="N6" i="7" s="1"/>
  <c r="O6" i="7" s="1"/>
  <c r="I5" i="7"/>
  <c r="J5" i="7" s="1"/>
  <c r="K5" i="7" s="1"/>
  <c r="L5" i="7" s="1"/>
  <c r="M5" i="7" s="1"/>
  <c r="N5" i="7" s="1"/>
  <c r="O5" i="7" s="1"/>
  <c r="I4" i="7"/>
  <c r="J4" i="7" s="1"/>
  <c r="K4" i="7" s="1"/>
  <c r="L4" i="7" s="1"/>
  <c r="M4" i="7" s="1"/>
  <c r="N4" i="7" s="1"/>
  <c r="O4" i="7" s="1"/>
</calcChain>
</file>

<file path=xl/sharedStrings.xml><?xml version="1.0" encoding="utf-8"?>
<sst xmlns="http://schemas.openxmlformats.org/spreadsheetml/2006/main" count="534" uniqueCount="292">
  <si>
    <t>INT</t>
  </si>
  <si>
    <t>Vibration Channel 1</t>
  </si>
  <si>
    <t>Vibration Channel 2</t>
  </si>
  <si>
    <t>Vibration Channel 3</t>
  </si>
  <si>
    <t>Vibration Channel 4</t>
  </si>
  <si>
    <t>Vibration Channel 5</t>
  </si>
  <si>
    <t>Vibration Channel 6</t>
  </si>
  <si>
    <t>Vibration Channel 7</t>
  </si>
  <si>
    <t>Vibration Channel 8</t>
  </si>
  <si>
    <t>Supply Voltage</t>
  </si>
  <si>
    <t>Reserved</t>
  </si>
  <si>
    <t>SW1 Active</t>
  </si>
  <si>
    <t>SW2 Active</t>
  </si>
  <si>
    <t>CAL R/W</t>
  </si>
  <si>
    <t>Watchdog</t>
  </si>
  <si>
    <t>Reset</t>
  </si>
  <si>
    <t>Startup Locked Out</t>
  </si>
  <si>
    <t>Alarm</t>
  </si>
  <si>
    <t>Bad Sensor 1</t>
  </si>
  <si>
    <t>Bad Sensor 2</t>
  </si>
  <si>
    <t>Bad Sensor 3</t>
  </si>
  <si>
    <t>Bad Sensor 4</t>
  </si>
  <si>
    <t>Bad Sensor 5</t>
  </si>
  <si>
    <t>Bad Sensor 6</t>
  </si>
  <si>
    <t>Bad Sensor 7</t>
  </si>
  <si>
    <t>Bad Sensor 8</t>
  </si>
  <si>
    <t>Gain 1</t>
  </si>
  <si>
    <t>Gain 2</t>
  </si>
  <si>
    <t>Gain 3</t>
  </si>
  <si>
    <t>Gain 4</t>
  </si>
  <si>
    <t>Gain 5</t>
  </si>
  <si>
    <t>Gain 6</t>
  </si>
  <si>
    <t>Gain 7</t>
  </si>
  <si>
    <t>Gain 8</t>
  </si>
  <si>
    <t>Lag Filter</t>
  </si>
  <si>
    <t>Number of Channels</t>
  </si>
  <si>
    <t>1-8</t>
  </si>
  <si>
    <t>Alarm Setpoint 1</t>
  </si>
  <si>
    <t>Alarm Setpoint 2</t>
  </si>
  <si>
    <t>Alarm Setpoint 3</t>
  </si>
  <si>
    <t>Alarm Setpoint 4</t>
  </si>
  <si>
    <t>Alarm Setpoint 5</t>
  </si>
  <si>
    <t>Alarm Setpoint 6</t>
  </si>
  <si>
    <t>Alarm Setpoint 7</t>
  </si>
  <si>
    <t>Alarm Setpoint 8</t>
  </si>
  <si>
    <t>Shutdown Setpoint 1</t>
  </si>
  <si>
    <t>Shutdown Setpoint 2</t>
  </si>
  <si>
    <t>Shutdown Setpoint 3</t>
  </si>
  <si>
    <t>Shutdown Setpoint 4</t>
  </si>
  <si>
    <t>Shutdown Setpoint 5</t>
  </si>
  <si>
    <t>Shutdown Setpoint 6</t>
  </si>
  <si>
    <t>Shutdown Setpoint 7</t>
  </si>
  <si>
    <t>Shutdown Setpoint 8</t>
  </si>
  <si>
    <t>Bad Sensor Setpoint 1</t>
  </si>
  <si>
    <t>Bad Sensor Setpoint 2</t>
  </si>
  <si>
    <t>Bad Sensor Setpoint 3</t>
  </si>
  <si>
    <t>Bad Sensor Setpoint 4</t>
  </si>
  <si>
    <t>Bad Sensor Setpoint 5</t>
  </si>
  <si>
    <t>Bad Sensor Setpoint 6</t>
  </si>
  <si>
    <t>Bad Sensor Setpoint 7</t>
  </si>
  <si>
    <t>Bad Sensor Setpoint 8</t>
  </si>
  <si>
    <t>Start Delay 1</t>
  </si>
  <si>
    <t>Start Delay 2</t>
  </si>
  <si>
    <t>Start Delay 3</t>
  </si>
  <si>
    <t>Start Delay 4</t>
  </si>
  <si>
    <t>Start Delay 5</t>
  </si>
  <si>
    <t>Start Delay 6</t>
  </si>
  <si>
    <t>Start Delay 7</t>
  </si>
  <si>
    <t>Start Delay 8</t>
  </si>
  <si>
    <t>Trip Delay 1</t>
  </si>
  <si>
    <t>Trip Delay 2</t>
  </si>
  <si>
    <t>Trip Delay 3</t>
  </si>
  <si>
    <t>Trip Delay 4</t>
  </si>
  <si>
    <t>Trip Delay 5</t>
  </si>
  <si>
    <t>Trip Delay 6</t>
  </si>
  <si>
    <t>Trip Delay 7</t>
  </si>
  <si>
    <t>Trip Delay 8</t>
  </si>
  <si>
    <t>Switch Hysteresis Time</t>
  </si>
  <si>
    <t>Default</t>
  </si>
  <si>
    <t>Switch 1 Enabled</t>
  </si>
  <si>
    <t>Switch 1 State</t>
  </si>
  <si>
    <t>Switch 1 Latching</t>
  </si>
  <si>
    <t>Bad Sensor Switch Select</t>
  </si>
  <si>
    <t>Switch 2 Enabled</t>
  </si>
  <si>
    <t>Switch 2 State</t>
  </si>
  <si>
    <t>Switch 2 Latching</t>
  </si>
  <si>
    <t>Startup Lockout</t>
  </si>
  <si>
    <t>Integers</t>
  </si>
  <si>
    <t>Size:</t>
  </si>
  <si>
    <t>n</t>
  </si>
  <si>
    <t>Value</t>
  </si>
  <si>
    <t>Bits:</t>
  </si>
  <si>
    <t>Diagnostic Bits</t>
  </si>
  <si>
    <t>Data Type:</t>
  </si>
  <si>
    <t>Instance:</t>
  </si>
  <si>
    <t>Switch 1 Active</t>
  </si>
  <si>
    <t>Switch 2 Active</t>
  </si>
  <si>
    <t>Min</t>
  </si>
  <si>
    <t>Max</t>
  </si>
  <si>
    <t>Control Bits</t>
  </si>
  <si>
    <t>00001</t>
  </si>
  <si>
    <t>Switch 1 Hysteresis Time</t>
  </si>
  <si>
    <t>SINT</t>
  </si>
  <si>
    <t>Attribute</t>
  </si>
  <si>
    <t>ID</t>
  </si>
  <si>
    <t>Tag</t>
  </si>
  <si>
    <t>Data Type</t>
  </si>
  <si>
    <t>Access</t>
  </si>
  <si>
    <t>Minimum</t>
  </si>
  <si>
    <t>Maximum</t>
  </si>
  <si>
    <t>Instance ID Register</t>
  </si>
  <si>
    <t>Parameter Range:</t>
  </si>
  <si>
    <t>Parameter Group(s):</t>
  </si>
  <si>
    <t>STRING,DINT,SINT[82]</t>
  </si>
  <si>
    <t>RW</t>
  </si>
  <si>
    <t>Group:</t>
  </si>
  <si>
    <t>Label Service Supported:</t>
  </si>
  <si>
    <t>Yes</t>
  </si>
  <si>
    <t>Prescale</t>
  </si>
  <si>
    <t>prescale</t>
  </si>
  <si>
    <t>Key Command Service Supported:</t>
  </si>
  <si>
    <t>No</t>
  </si>
  <si>
    <t>Number of Instances:</t>
  </si>
  <si>
    <t>Number of Attributes:</t>
  </si>
  <si>
    <t>Object Tag:</t>
  </si>
  <si>
    <t>Object ID:</t>
  </si>
  <si>
    <t>RO</t>
  </si>
  <si>
    <t>sw1_hyst</t>
  </si>
  <si>
    <t>00002</t>
  </si>
  <si>
    <t>sw1_en</t>
  </si>
  <si>
    <t>00006</t>
  </si>
  <si>
    <t>sw1_state</t>
  </si>
  <si>
    <t>00008</t>
  </si>
  <si>
    <t>sw1_type</t>
  </si>
  <si>
    <t>00009</t>
  </si>
  <si>
    <t>00010</t>
  </si>
  <si>
    <t>sw2_en</t>
  </si>
  <si>
    <t>00011</t>
  </si>
  <si>
    <t>sw2_state</t>
  </si>
  <si>
    <t>sw2_type</t>
  </si>
  <si>
    <t>00016</t>
  </si>
  <si>
    <t>sw1_active</t>
  </si>
  <si>
    <t>sw2_active</t>
  </si>
  <si>
    <t>cal_rw</t>
  </si>
  <si>
    <t>Watchdog Fault</t>
  </si>
  <si>
    <t>watchdog</t>
  </si>
  <si>
    <t>reset</t>
  </si>
  <si>
    <t>locked_out</t>
  </si>
  <si>
    <t>alarm</t>
  </si>
  <si>
    <t>voltage</t>
  </si>
  <si>
    <t>Application CPU Utilization</t>
  </si>
  <si>
    <t>cpu_usage</t>
  </si>
  <si>
    <t>Device Identity</t>
  </si>
  <si>
    <t>identity</t>
  </si>
  <si>
    <t>FN17 (5-20)</t>
  </si>
  <si>
    <t>Device Status</t>
  </si>
  <si>
    <t>status</t>
  </si>
  <si>
    <t>FN17 (2)</t>
  </si>
  <si>
    <t>Device Version</t>
  </si>
  <si>
    <t>version</t>
  </si>
  <si>
    <t>FN17 (3-4)</t>
  </si>
  <si>
    <t>Bad Sensor Bits</t>
  </si>
  <si>
    <t>Critical High Bits</t>
  </si>
  <si>
    <t>High Bits</t>
  </si>
  <si>
    <t>Armed Bits</t>
  </si>
  <si>
    <t>Critical High 1</t>
  </si>
  <si>
    <t>Critical High 2</t>
  </si>
  <si>
    <t>Critical High 3</t>
  </si>
  <si>
    <t>Critical High 4</t>
  </si>
  <si>
    <t>Critical High 5</t>
  </si>
  <si>
    <t>Critical High 6</t>
  </si>
  <si>
    <t>Critical High 7</t>
  </si>
  <si>
    <t>Critical High 8</t>
  </si>
  <si>
    <t>Vibration High 1</t>
  </si>
  <si>
    <t>Vibration High 2</t>
  </si>
  <si>
    <t>Vibration High 3</t>
  </si>
  <si>
    <t>Vibration High 4</t>
  </si>
  <si>
    <t>Vibration High 5</t>
  </si>
  <si>
    <t>Vibration High 6</t>
  </si>
  <si>
    <t>Vibration High 7</t>
  </si>
  <si>
    <t>Vibration High 8</t>
  </si>
  <si>
    <t>Channel Armed 1</t>
  </si>
  <si>
    <t>Channel Armed 2</t>
  </si>
  <si>
    <t>Channel Armed 3</t>
  </si>
  <si>
    <t>Channel Armed 4</t>
  </si>
  <si>
    <t>Channel Armed 5</t>
  </si>
  <si>
    <t>Channel Armed 6</t>
  </si>
  <si>
    <t>Channel Armed 7</t>
  </si>
  <si>
    <t>Channel Armed 8</t>
  </si>
  <si>
    <t>VSM Register</t>
  </si>
  <si>
    <t>VSMPlus:I.Data[n]</t>
  </si>
  <si>
    <t>VSMPlus:O.Data[n]</t>
  </si>
  <si>
    <t>sensor</t>
  </si>
  <si>
    <t>Channel Label</t>
  </si>
  <si>
    <t>label</t>
  </si>
  <si>
    <t>gain</t>
  </si>
  <si>
    <t>bandpass</t>
  </si>
  <si>
    <t>time_const</t>
  </si>
  <si>
    <t>alm_sp</t>
  </si>
  <si>
    <t>sd_sp</t>
  </si>
  <si>
    <t>bad_snsr_sp</t>
  </si>
  <si>
    <t>offset</t>
  </si>
  <si>
    <t>scalar</t>
  </si>
  <si>
    <t>label_type</t>
  </si>
  <si>
    <t>strt_dly</t>
  </si>
  <si>
    <t>trip_tmr</t>
  </si>
  <si>
    <t>Gain</t>
  </si>
  <si>
    <t>Bandpass</t>
  </si>
  <si>
    <t>Time Constant</t>
  </si>
  <si>
    <t>Alarm Setpoint</t>
  </si>
  <si>
    <t>Shutdown Setpoint</t>
  </si>
  <si>
    <t>Bad Sensor Setpoint</t>
  </si>
  <si>
    <t>Offset</t>
  </si>
  <si>
    <t>Scalar</t>
  </si>
  <si>
    <t>Label Type</t>
  </si>
  <si>
    <t>Start Delay</t>
  </si>
  <si>
    <t>Trip Timer</t>
  </si>
  <si>
    <t>40050-40055</t>
  </si>
  <si>
    <t>40070-40075</t>
  </si>
  <si>
    <t>40090-40095</t>
  </si>
  <si>
    <t>40110-40115</t>
  </si>
  <si>
    <t>40130-40135</t>
  </si>
  <si>
    <t>40150-40155</t>
  </si>
  <si>
    <t>40170-40175</t>
  </si>
  <si>
    <t>40190-40195</t>
  </si>
  <si>
    <t>Vibration Level</t>
  </si>
  <si>
    <t>vibration</t>
  </si>
  <si>
    <t>sensor_stat</t>
  </si>
  <si>
    <t>sw1sp_trip</t>
  </si>
  <si>
    <t>sw2sp_trip</t>
  </si>
  <si>
    <t>armed</t>
  </si>
  <si>
    <t>Sensor Bad</t>
  </si>
  <si>
    <t>Switch 1 Tripped</t>
  </si>
  <si>
    <t>Switch 2 Tripped</t>
  </si>
  <si>
    <t>Channel Armed</t>
  </si>
  <si>
    <t>1-144</t>
  </si>
  <si>
    <t>lag_filter</t>
  </si>
  <si>
    <t>no_chans</t>
  </si>
  <si>
    <t>window_len</t>
  </si>
  <si>
    <t>mod_freq</t>
  </si>
  <si>
    <t>cmn_ofst_14</t>
  </si>
  <si>
    <t>cmn_ofst_58</t>
  </si>
  <si>
    <t>filt_step</t>
  </si>
  <si>
    <t>filt_gain</t>
  </si>
  <si>
    <t>Window Length</t>
  </si>
  <si>
    <t>Modulation Frequency</t>
  </si>
  <si>
    <t>Common Offset Channels 1-4</t>
  </si>
  <si>
    <t>Common Offset Channels 5-8</t>
  </si>
  <si>
    <t>Filter Step</t>
  </si>
  <si>
    <t>Filter Gain</t>
  </si>
  <si>
    <t>Tens Only Mode</t>
  </si>
  <si>
    <t>Switch 1 Shelf/Failsafe</t>
  </si>
  <si>
    <t>Bad Sensor to Switch 1</t>
  </si>
  <si>
    <t>Switch 2 Shelf/Failsafe</t>
  </si>
  <si>
    <t>Control Lockout</t>
  </si>
  <si>
    <t>tens_only</t>
  </si>
  <si>
    <t>bad_snsr_sw</t>
  </si>
  <si>
    <t>lockout</t>
  </si>
  <si>
    <t>00007</t>
  </si>
  <si>
    <t>00012</t>
  </si>
  <si>
    <t>00015</t>
  </si>
  <si>
    <t>Factory Calibration Writable</t>
  </si>
  <si>
    <t>Controls Reset</t>
  </si>
  <si>
    <t>Controls Locked Out Externally</t>
  </si>
  <si>
    <t>Hardware Model</t>
  </si>
  <si>
    <t>hw_model</t>
  </si>
  <si>
    <t>ARRAY2_30,DINT,SINT[15]</t>
  </si>
  <si>
    <t>ARRAY2_31, DINT,SINT[1]</t>
  </si>
  <si>
    <t>ARRAY2_32,DINT,SINT[2]</t>
  </si>
  <si>
    <t>145-177</t>
  </si>
  <si>
    <t>Event Log Entry</t>
  </si>
  <si>
    <t>10-42</t>
  </si>
  <si>
    <t>178-210</t>
  </si>
  <si>
    <t>log</t>
  </si>
  <si>
    <t>vsm</t>
  </si>
  <si>
    <t>***</t>
  </si>
  <si>
    <t>Note:</t>
  </si>
  <si>
    <t>Actual values are INT unless otherwise specified and can be copied to a corresponding UDT</t>
  </si>
  <si>
    <t>VSMPlus:C.Data[n]</t>
  </si>
  <si>
    <t>Reserved 1</t>
  </si>
  <si>
    <t>Reserved 2</t>
  </si>
  <si>
    <t>Reserved 3</t>
  </si>
  <si>
    <t>Reserved 4</t>
  </si>
  <si>
    <t>Reserved 5</t>
  </si>
  <si>
    <t>Reserved 6</t>
  </si>
  <si>
    <t>Reserved 7</t>
  </si>
  <si>
    <t>Reserved 8</t>
  </si>
  <si>
    <t>Switch 1 Control</t>
  </si>
  <si>
    <t>Switch 2 Control</t>
  </si>
  <si>
    <t>Communication Status</t>
  </si>
  <si>
    <t>Control Bits Echo</t>
  </si>
  <si>
    <t>Status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</si>
</sst>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6" fontId="0" fillId="0" borderId="0" xfId="0" quotePrefix="1" applyNumberFormat="1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quotePrefix="1" applyNumberForma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left"/>
    </xf>
    <xf numFmtId="16" fontId="0" fillId="0" borderId="0" xfId="0" quotePrefix="1" applyNumberFormat="1" applyFont="1" applyAlignment="1">
      <alignment horizontal="left"/>
    </xf>
    <xf numFmtId="0" fontId="0" fillId="0" borderId="0" xfId="0" quotePrefix="1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workbookViewId="0">
      <selection activeCell="K21" sqref="K21"/>
    </sheetView>
  </sheetViews>
  <sheetFormatPr defaultRowHeight="15" x14ac:dyDescent="0.25"/>
  <cols>
    <col min="1" max="1" width="3" bestFit="1" customWidth="1"/>
    <col min="2" max="2" width="21.140625" bestFit="1" customWidth="1"/>
    <col min="3" max="3" width="12.7109375" style="8" bestFit="1" customWidth="1"/>
    <col min="4" max="4" width="10.28515625" bestFit="1" customWidth="1"/>
    <col min="5" max="5" width="4.85546875" bestFit="1" customWidth="1"/>
    <col min="6" max="6" width="18" bestFit="1" customWidth="1"/>
    <col min="7" max="7" width="14.5703125" bestFit="1" customWidth="1"/>
    <col min="8" max="8" width="15.42578125" bestFit="1" customWidth="1"/>
    <col min="9" max="9" width="15.28515625" bestFit="1" customWidth="1"/>
    <col min="10" max="10" width="16.28515625" bestFit="1" customWidth="1"/>
    <col min="11" max="11" width="23.28515625" bestFit="1" customWidth="1"/>
    <col min="12" max="12" width="10.28515625" customWidth="1"/>
    <col min="13" max="13" width="10.28515625" bestFit="1" customWidth="1"/>
    <col min="14" max="15" width="4.140625" bestFit="1" customWidth="1"/>
  </cols>
  <sheetData>
    <row r="1" spans="1:14" ht="18.75" x14ac:dyDescent="0.3">
      <c r="A1" s="24" t="s">
        <v>190</v>
      </c>
      <c r="B1" s="24"/>
      <c r="C1" s="24"/>
      <c r="F1" s="24" t="s">
        <v>87</v>
      </c>
      <c r="G1" s="24"/>
      <c r="H1" s="24"/>
      <c r="I1" s="24"/>
      <c r="J1" s="24"/>
      <c r="M1" t="s">
        <v>88</v>
      </c>
      <c r="N1">
        <v>16</v>
      </c>
    </row>
    <row r="2" spans="1:14" s="6" customFormat="1" x14ac:dyDescent="0.25">
      <c r="A2" s="6" t="s">
        <v>89</v>
      </c>
      <c r="B2" s="6" t="s">
        <v>90</v>
      </c>
      <c r="C2" s="6" t="s">
        <v>189</v>
      </c>
      <c r="E2" s="6" t="s">
        <v>91</v>
      </c>
      <c r="F2" s="7" t="s">
        <v>92</v>
      </c>
      <c r="G2" s="6" t="s">
        <v>161</v>
      </c>
      <c r="H2" s="6" t="s">
        <v>162</v>
      </c>
      <c r="I2" s="6" t="s">
        <v>163</v>
      </c>
      <c r="J2" s="6" t="s">
        <v>164</v>
      </c>
      <c r="K2" s="19" t="s">
        <v>99</v>
      </c>
      <c r="M2" t="s">
        <v>93</v>
      </c>
      <c r="N2" t="s">
        <v>0</v>
      </c>
    </row>
    <row r="3" spans="1:14" x14ac:dyDescent="0.25">
      <c r="A3">
        <v>0</v>
      </c>
      <c r="B3" t="s">
        <v>1</v>
      </c>
      <c r="C3" s="8">
        <v>30015</v>
      </c>
      <c r="E3">
        <v>0</v>
      </c>
      <c r="F3" t="s">
        <v>10</v>
      </c>
      <c r="G3" t="s">
        <v>18</v>
      </c>
      <c r="H3" t="s">
        <v>165</v>
      </c>
      <c r="I3" t="s">
        <v>173</v>
      </c>
      <c r="J3" t="s">
        <v>181</v>
      </c>
      <c r="K3" t="s">
        <v>287</v>
      </c>
      <c r="M3" s="2" t="s">
        <v>94</v>
      </c>
      <c r="N3" s="2">
        <v>100</v>
      </c>
    </row>
    <row r="4" spans="1:14" x14ac:dyDescent="0.25">
      <c r="A4">
        <v>1</v>
      </c>
      <c r="B4" t="s">
        <v>2</v>
      </c>
      <c r="C4" s="8">
        <v>30016</v>
      </c>
      <c r="E4">
        <v>1</v>
      </c>
      <c r="F4" t="s">
        <v>10</v>
      </c>
      <c r="G4" t="s">
        <v>19</v>
      </c>
      <c r="H4" t="s">
        <v>166</v>
      </c>
      <c r="I4" t="s">
        <v>174</v>
      </c>
      <c r="J4" t="s">
        <v>182</v>
      </c>
      <c r="K4" t="s">
        <v>288</v>
      </c>
    </row>
    <row r="5" spans="1:14" x14ac:dyDescent="0.25">
      <c r="A5">
        <v>2</v>
      </c>
      <c r="B5" t="s">
        <v>3</v>
      </c>
      <c r="C5" s="8">
        <v>30017</v>
      </c>
      <c r="E5">
        <v>2</v>
      </c>
      <c r="F5" t="s">
        <v>11</v>
      </c>
      <c r="G5" t="s">
        <v>20</v>
      </c>
      <c r="H5" t="s">
        <v>167</v>
      </c>
      <c r="I5" t="s">
        <v>175</v>
      </c>
      <c r="J5" t="s">
        <v>183</v>
      </c>
      <c r="K5" t="s">
        <v>10</v>
      </c>
    </row>
    <row r="6" spans="1:14" x14ac:dyDescent="0.25">
      <c r="A6">
        <v>3</v>
      </c>
      <c r="B6" t="s">
        <v>4</v>
      </c>
      <c r="C6" s="8">
        <v>30018</v>
      </c>
      <c r="E6">
        <v>3</v>
      </c>
      <c r="F6" t="s">
        <v>12</v>
      </c>
      <c r="G6" t="s">
        <v>21</v>
      </c>
      <c r="H6" t="s">
        <v>168</v>
      </c>
      <c r="I6" t="s">
        <v>176</v>
      </c>
      <c r="J6" t="s">
        <v>184</v>
      </c>
      <c r="K6" t="s">
        <v>10</v>
      </c>
    </row>
    <row r="7" spans="1:14" x14ac:dyDescent="0.25">
      <c r="A7">
        <v>4</v>
      </c>
      <c r="B7" t="s">
        <v>5</v>
      </c>
      <c r="C7" s="8">
        <v>30019</v>
      </c>
      <c r="E7">
        <v>4</v>
      </c>
      <c r="F7" t="s">
        <v>10</v>
      </c>
      <c r="G7" t="s">
        <v>22</v>
      </c>
      <c r="H7" t="s">
        <v>169</v>
      </c>
      <c r="I7" t="s">
        <v>177</v>
      </c>
      <c r="J7" t="s">
        <v>185</v>
      </c>
      <c r="K7" t="s">
        <v>10</v>
      </c>
    </row>
    <row r="8" spans="1:14" x14ac:dyDescent="0.25">
      <c r="A8">
        <v>5</v>
      </c>
      <c r="B8" t="s">
        <v>6</v>
      </c>
      <c r="C8" s="8">
        <v>30020</v>
      </c>
      <c r="E8">
        <v>5</v>
      </c>
      <c r="F8" t="s">
        <v>10</v>
      </c>
      <c r="G8" t="s">
        <v>23</v>
      </c>
      <c r="H8" t="s">
        <v>170</v>
      </c>
      <c r="I8" t="s">
        <v>178</v>
      </c>
      <c r="J8" t="s">
        <v>186</v>
      </c>
      <c r="K8" t="s">
        <v>79</v>
      </c>
    </row>
    <row r="9" spans="1:14" x14ac:dyDescent="0.25">
      <c r="A9">
        <v>6</v>
      </c>
      <c r="B9" t="s">
        <v>7</v>
      </c>
      <c r="C9" s="8">
        <v>30021</v>
      </c>
      <c r="E9">
        <v>6</v>
      </c>
      <c r="F9" t="s">
        <v>10</v>
      </c>
      <c r="G9" t="s">
        <v>24</v>
      </c>
      <c r="H9" t="s">
        <v>171</v>
      </c>
      <c r="I9" t="s">
        <v>179</v>
      </c>
      <c r="J9" t="s">
        <v>187</v>
      </c>
      <c r="K9" t="s">
        <v>80</v>
      </c>
    </row>
    <row r="10" spans="1:14" x14ac:dyDescent="0.25">
      <c r="A10">
        <v>7</v>
      </c>
      <c r="B10" t="s">
        <v>8</v>
      </c>
      <c r="C10" s="8">
        <v>30022</v>
      </c>
      <c r="E10">
        <v>7</v>
      </c>
      <c r="F10" t="s">
        <v>10</v>
      </c>
      <c r="G10" t="s">
        <v>25</v>
      </c>
      <c r="H10" t="s">
        <v>172</v>
      </c>
      <c r="I10" t="s">
        <v>180</v>
      </c>
      <c r="J10" t="s">
        <v>188</v>
      </c>
      <c r="K10" t="s">
        <v>81</v>
      </c>
    </row>
    <row r="11" spans="1:14" x14ac:dyDescent="0.25">
      <c r="A11">
        <v>8</v>
      </c>
      <c r="B11" t="s">
        <v>9</v>
      </c>
      <c r="C11" s="8">
        <v>30010</v>
      </c>
      <c r="E11">
        <v>8</v>
      </c>
      <c r="F11" t="s">
        <v>13</v>
      </c>
      <c r="G11" t="s">
        <v>10</v>
      </c>
      <c r="H11" t="s">
        <v>10</v>
      </c>
      <c r="I11" t="s">
        <v>10</v>
      </c>
      <c r="J11" t="s">
        <v>10</v>
      </c>
      <c r="K11" t="s">
        <v>82</v>
      </c>
    </row>
    <row r="12" spans="1:14" x14ac:dyDescent="0.25">
      <c r="A12">
        <v>9</v>
      </c>
      <c r="B12" t="s">
        <v>92</v>
      </c>
      <c r="C12" s="8">
        <v>10001</v>
      </c>
      <c r="E12">
        <v>9</v>
      </c>
      <c r="F12" t="s">
        <v>14</v>
      </c>
      <c r="G12" t="s">
        <v>10</v>
      </c>
      <c r="H12" t="s">
        <v>10</v>
      </c>
      <c r="I12" t="s">
        <v>10</v>
      </c>
      <c r="J12" t="s">
        <v>10</v>
      </c>
      <c r="K12" t="s">
        <v>83</v>
      </c>
    </row>
    <row r="13" spans="1:14" x14ac:dyDescent="0.25">
      <c r="A13">
        <v>10</v>
      </c>
      <c r="B13" t="s">
        <v>161</v>
      </c>
      <c r="C13" s="8">
        <f>C12+16</f>
        <v>10017</v>
      </c>
      <c r="E13">
        <v>10</v>
      </c>
      <c r="F13" t="s">
        <v>15</v>
      </c>
      <c r="G13" t="s">
        <v>10</v>
      </c>
      <c r="H13" t="s">
        <v>10</v>
      </c>
      <c r="I13" t="s">
        <v>10</v>
      </c>
      <c r="J13" t="s">
        <v>10</v>
      </c>
      <c r="K13" t="s">
        <v>84</v>
      </c>
    </row>
    <row r="14" spans="1:14" x14ac:dyDescent="0.25">
      <c r="A14">
        <v>11</v>
      </c>
      <c r="B14" t="s">
        <v>162</v>
      </c>
      <c r="C14" s="8">
        <f t="shared" ref="C14:C16" si="0">C13+16</f>
        <v>10033</v>
      </c>
      <c r="E14">
        <v>11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85</v>
      </c>
    </row>
    <row r="15" spans="1:14" x14ac:dyDescent="0.25">
      <c r="A15">
        <v>12</v>
      </c>
      <c r="B15" t="s">
        <v>163</v>
      </c>
      <c r="C15" s="8">
        <f t="shared" si="0"/>
        <v>10049</v>
      </c>
      <c r="E15">
        <v>12</v>
      </c>
      <c r="F15" t="s">
        <v>16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</row>
    <row r="16" spans="1:14" x14ac:dyDescent="0.25">
      <c r="A16">
        <v>13</v>
      </c>
      <c r="B16" t="s">
        <v>164</v>
      </c>
      <c r="C16" s="8">
        <f t="shared" si="0"/>
        <v>10065</v>
      </c>
      <c r="E16">
        <v>13</v>
      </c>
      <c r="F16" t="s">
        <v>17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</row>
    <row r="17" spans="1:11" x14ac:dyDescent="0.25">
      <c r="A17">
        <v>14</v>
      </c>
      <c r="B17" t="s">
        <v>289</v>
      </c>
      <c r="C17" s="8" t="s">
        <v>275</v>
      </c>
      <c r="E17">
        <v>14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</row>
    <row r="18" spans="1:11" x14ac:dyDescent="0.25">
      <c r="A18">
        <v>15</v>
      </c>
      <c r="B18" t="s">
        <v>290</v>
      </c>
      <c r="C18" s="11" t="s">
        <v>100</v>
      </c>
      <c r="E18">
        <v>15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86</v>
      </c>
    </row>
    <row r="19" spans="1:11" x14ac:dyDescent="0.25">
      <c r="B19" s="9"/>
    </row>
    <row r="20" spans="1:11" x14ac:dyDescent="0.25">
      <c r="B20" s="9"/>
    </row>
    <row r="21" spans="1:11" x14ac:dyDescent="0.25">
      <c r="B21" s="9"/>
    </row>
    <row r="22" spans="1:11" x14ac:dyDescent="0.25">
      <c r="B22" s="9"/>
    </row>
    <row r="23" spans="1:11" x14ac:dyDescent="0.25">
      <c r="B23" s="9"/>
    </row>
    <row r="24" spans="1:11" x14ac:dyDescent="0.25">
      <c r="B24" s="9"/>
    </row>
    <row r="25" spans="1:11" x14ac:dyDescent="0.25">
      <c r="B25" s="9"/>
    </row>
    <row r="26" spans="1:11" x14ac:dyDescent="0.25">
      <c r="B26" s="9"/>
    </row>
    <row r="27" spans="1:11" x14ac:dyDescent="0.25">
      <c r="B27" s="9"/>
    </row>
    <row r="28" spans="1:11" x14ac:dyDescent="0.25">
      <c r="B28" s="9"/>
    </row>
    <row r="29" spans="1:11" x14ac:dyDescent="0.25">
      <c r="B29" s="9"/>
    </row>
    <row r="30" spans="1:11" x14ac:dyDescent="0.25">
      <c r="B30" s="9"/>
    </row>
    <row r="31" spans="1:11" x14ac:dyDescent="0.25">
      <c r="B31" s="9"/>
    </row>
    <row r="32" spans="1:11" x14ac:dyDescent="0.25">
      <c r="B32" s="9"/>
    </row>
    <row r="33" spans="2:2" x14ac:dyDescent="0.25">
      <c r="B33" s="9"/>
    </row>
    <row r="34" spans="2:2" x14ac:dyDescent="0.25">
      <c r="B34" s="9"/>
    </row>
    <row r="35" spans="2:2" x14ac:dyDescent="0.25">
      <c r="B35" s="9"/>
    </row>
    <row r="36" spans="2:2" x14ac:dyDescent="0.25">
      <c r="B36" s="9"/>
    </row>
    <row r="37" spans="2:2" x14ac:dyDescent="0.25">
      <c r="B37" s="9"/>
    </row>
    <row r="38" spans="2:2" x14ac:dyDescent="0.25">
      <c r="B38" s="9"/>
    </row>
    <row r="39" spans="2:2" x14ac:dyDescent="0.25">
      <c r="B39" s="9"/>
    </row>
    <row r="40" spans="2:2" x14ac:dyDescent="0.25">
      <c r="B40" s="9"/>
    </row>
    <row r="41" spans="2:2" x14ac:dyDescent="0.25">
      <c r="B41" s="9"/>
    </row>
    <row r="42" spans="2:2" x14ac:dyDescent="0.25">
      <c r="B42" s="9"/>
    </row>
    <row r="43" spans="2:2" x14ac:dyDescent="0.25">
      <c r="B43" s="9"/>
    </row>
    <row r="44" spans="2:2" x14ac:dyDescent="0.25">
      <c r="B44" s="9"/>
    </row>
    <row r="45" spans="2:2" x14ac:dyDescent="0.25">
      <c r="B45" s="9"/>
    </row>
    <row r="46" spans="2:2" x14ac:dyDescent="0.25">
      <c r="B46" s="9"/>
    </row>
    <row r="47" spans="2:2" x14ac:dyDescent="0.25">
      <c r="B47" s="9"/>
    </row>
    <row r="48" spans="2:2" x14ac:dyDescent="0.25">
      <c r="B48" s="9"/>
    </row>
    <row r="49" spans="2:3" x14ac:dyDescent="0.25">
      <c r="B49" s="9"/>
    </row>
    <row r="50" spans="2:3" x14ac:dyDescent="0.25">
      <c r="B50" s="9"/>
    </row>
    <row r="51" spans="2:3" x14ac:dyDescent="0.25">
      <c r="B51" s="9"/>
    </row>
    <row r="52" spans="2:3" x14ac:dyDescent="0.25">
      <c r="B52" s="9"/>
    </row>
    <row r="53" spans="2:3" x14ac:dyDescent="0.25">
      <c r="B53" s="9"/>
    </row>
    <row r="54" spans="2:3" x14ac:dyDescent="0.25">
      <c r="B54" s="9"/>
    </row>
    <row r="55" spans="2:3" x14ac:dyDescent="0.25">
      <c r="B55" s="9"/>
      <c r="C55" s="10"/>
    </row>
    <row r="56" spans="2:3" x14ac:dyDescent="0.25">
      <c r="B56" s="9"/>
      <c r="C56" s="10"/>
    </row>
    <row r="57" spans="2:3" x14ac:dyDescent="0.25">
      <c r="B57" s="9"/>
      <c r="C57" s="10"/>
    </row>
    <row r="58" spans="2:3" x14ac:dyDescent="0.25">
      <c r="B58" s="9"/>
      <c r="C58" s="10"/>
    </row>
    <row r="59" spans="2:3" x14ac:dyDescent="0.25">
      <c r="B59" s="9"/>
      <c r="C59" s="10"/>
    </row>
    <row r="60" spans="2:3" x14ac:dyDescent="0.25">
      <c r="B60" s="9"/>
      <c r="C60" s="10"/>
    </row>
    <row r="61" spans="2:3" x14ac:dyDescent="0.25">
      <c r="B61" s="9"/>
      <c r="C61" s="10"/>
    </row>
    <row r="62" spans="2:3" x14ac:dyDescent="0.25">
      <c r="B62" s="9"/>
      <c r="C62" s="10"/>
    </row>
  </sheetData>
  <mergeCells count="2">
    <mergeCell ref="A1:C1"/>
    <mergeCell ref="F1:J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C18" sqref="C18"/>
    </sheetView>
  </sheetViews>
  <sheetFormatPr defaultRowHeight="15" x14ac:dyDescent="0.25"/>
  <cols>
    <col min="1" max="1" width="3" bestFit="1" customWidth="1"/>
    <col min="2" max="2" width="24.28515625" bestFit="1" customWidth="1"/>
    <col min="3" max="3" width="12.85546875" style="8" bestFit="1" customWidth="1"/>
    <col min="4" max="4" width="6.7109375" style="8" bestFit="1" customWidth="1"/>
    <col min="5" max="5" width="6" style="8" bestFit="1" customWidth="1"/>
    <col min="6" max="6" width="7.5703125" style="8" bestFit="1" customWidth="1"/>
    <col min="7" max="7" width="10.28515625" bestFit="1" customWidth="1"/>
    <col min="8" max="8" width="4.85546875" bestFit="1" customWidth="1"/>
    <col min="9" max="9" width="23.28515625" bestFit="1" customWidth="1"/>
    <col min="10" max="11" width="10.28515625" bestFit="1" customWidth="1"/>
    <col min="12" max="13" width="4.140625" bestFit="1" customWidth="1"/>
  </cols>
  <sheetData>
    <row r="1" spans="1:12" ht="18.75" x14ac:dyDescent="0.3">
      <c r="A1" s="24" t="s">
        <v>191</v>
      </c>
      <c r="B1" s="24"/>
      <c r="C1" s="24"/>
      <c r="D1" s="24"/>
      <c r="E1" s="24"/>
      <c r="F1" s="24"/>
      <c r="I1" s="5" t="s">
        <v>87</v>
      </c>
      <c r="K1" t="s">
        <v>88</v>
      </c>
      <c r="L1">
        <v>11</v>
      </c>
    </row>
    <row r="2" spans="1:12" s="6" customFormat="1" x14ac:dyDescent="0.25">
      <c r="A2" s="6" t="s">
        <v>89</v>
      </c>
      <c r="B2" s="6" t="s">
        <v>90</v>
      </c>
      <c r="C2" s="6" t="s">
        <v>189</v>
      </c>
      <c r="D2" s="6" t="s">
        <v>97</v>
      </c>
      <c r="E2" s="6" t="s">
        <v>98</v>
      </c>
      <c r="F2" s="6" t="s">
        <v>78</v>
      </c>
      <c r="H2" s="6" t="s">
        <v>91</v>
      </c>
      <c r="I2" s="6" t="s">
        <v>99</v>
      </c>
      <c r="K2" t="s">
        <v>93</v>
      </c>
      <c r="L2" t="s">
        <v>0</v>
      </c>
    </row>
    <row r="3" spans="1:12" x14ac:dyDescent="0.25">
      <c r="A3">
        <v>0</v>
      </c>
      <c r="B3" t="s">
        <v>26</v>
      </c>
      <c r="C3" s="11">
        <v>40041</v>
      </c>
      <c r="D3" s="8">
        <v>0</v>
      </c>
      <c r="E3" s="8">
        <v>63</v>
      </c>
      <c r="F3" s="3">
        <v>14</v>
      </c>
      <c r="H3">
        <v>0</v>
      </c>
      <c r="I3" t="s">
        <v>287</v>
      </c>
      <c r="K3" s="2" t="s">
        <v>94</v>
      </c>
      <c r="L3" s="2">
        <v>101</v>
      </c>
    </row>
    <row r="4" spans="1:12" x14ac:dyDescent="0.25">
      <c r="A4">
        <v>1</v>
      </c>
      <c r="B4" t="s">
        <v>27</v>
      </c>
      <c r="C4" s="8">
        <f>C3+20</f>
        <v>40061</v>
      </c>
      <c r="D4" s="8">
        <v>0</v>
      </c>
      <c r="E4" s="8">
        <v>63</v>
      </c>
      <c r="F4" s="3">
        <v>14</v>
      </c>
      <c r="H4">
        <v>1</v>
      </c>
      <c r="I4" t="s">
        <v>288</v>
      </c>
    </row>
    <row r="5" spans="1:12" x14ac:dyDescent="0.25">
      <c r="A5">
        <v>2</v>
      </c>
      <c r="B5" t="s">
        <v>28</v>
      </c>
      <c r="C5" s="8">
        <f t="shared" ref="C5:C10" si="0">C4+20</f>
        <v>40081</v>
      </c>
      <c r="D5" s="8">
        <v>0</v>
      </c>
      <c r="E5" s="8">
        <v>63</v>
      </c>
      <c r="F5" s="3">
        <v>14</v>
      </c>
      <c r="H5">
        <v>2</v>
      </c>
      <c r="I5" t="s">
        <v>10</v>
      </c>
    </row>
    <row r="6" spans="1:12" x14ac:dyDescent="0.25">
      <c r="A6">
        <v>3</v>
      </c>
      <c r="B6" t="s">
        <v>29</v>
      </c>
      <c r="C6" s="8">
        <f t="shared" si="0"/>
        <v>40101</v>
      </c>
      <c r="D6" s="8">
        <v>0</v>
      </c>
      <c r="E6" s="8">
        <v>63</v>
      </c>
      <c r="F6" s="3">
        <v>14</v>
      </c>
      <c r="H6">
        <v>3</v>
      </c>
      <c r="I6" t="s">
        <v>10</v>
      </c>
    </row>
    <row r="7" spans="1:12" x14ac:dyDescent="0.25">
      <c r="A7">
        <v>4</v>
      </c>
      <c r="B7" t="s">
        <v>30</v>
      </c>
      <c r="C7" s="8">
        <f t="shared" si="0"/>
        <v>40121</v>
      </c>
      <c r="D7" s="8">
        <v>0</v>
      </c>
      <c r="E7" s="8">
        <v>63</v>
      </c>
      <c r="F7" s="3">
        <v>14</v>
      </c>
      <c r="H7">
        <v>4</v>
      </c>
      <c r="I7" t="s">
        <v>10</v>
      </c>
    </row>
    <row r="8" spans="1:12" x14ac:dyDescent="0.25">
      <c r="A8">
        <v>5</v>
      </c>
      <c r="B8" t="s">
        <v>31</v>
      </c>
      <c r="C8" s="8">
        <f t="shared" si="0"/>
        <v>40141</v>
      </c>
      <c r="D8" s="8">
        <v>0</v>
      </c>
      <c r="E8" s="8">
        <v>63</v>
      </c>
      <c r="F8" s="3">
        <v>14</v>
      </c>
      <c r="H8">
        <v>5</v>
      </c>
      <c r="I8" t="s">
        <v>79</v>
      </c>
    </row>
    <row r="9" spans="1:12" x14ac:dyDescent="0.25">
      <c r="A9">
        <v>6</v>
      </c>
      <c r="B9" t="s">
        <v>32</v>
      </c>
      <c r="C9" s="8">
        <f t="shared" si="0"/>
        <v>40161</v>
      </c>
      <c r="D9" s="8">
        <v>0</v>
      </c>
      <c r="E9" s="8">
        <v>63</v>
      </c>
      <c r="F9" s="3">
        <v>14</v>
      </c>
      <c r="H9">
        <v>6</v>
      </c>
      <c r="I9" t="s">
        <v>80</v>
      </c>
    </row>
    <row r="10" spans="1:12" x14ac:dyDescent="0.25">
      <c r="A10">
        <v>7</v>
      </c>
      <c r="B10" t="s">
        <v>33</v>
      </c>
      <c r="C10" s="8">
        <f t="shared" si="0"/>
        <v>40181</v>
      </c>
      <c r="D10" s="8">
        <v>0</v>
      </c>
      <c r="E10" s="8">
        <v>63</v>
      </c>
      <c r="F10" s="3">
        <v>14</v>
      </c>
      <c r="H10">
        <v>7</v>
      </c>
      <c r="I10" t="s">
        <v>81</v>
      </c>
    </row>
    <row r="11" spans="1:12" x14ac:dyDescent="0.25">
      <c r="A11">
        <v>8</v>
      </c>
      <c r="B11" t="s">
        <v>34</v>
      </c>
      <c r="C11" s="8">
        <v>40013</v>
      </c>
      <c r="D11" s="8">
        <v>1</v>
      </c>
      <c r="E11" s="8">
        <v>255</v>
      </c>
      <c r="F11" s="3">
        <v>240</v>
      </c>
      <c r="H11">
        <v>8</v>
      </c>
      <c r="I11" t="s">
        <v>82</v>
      </c>
    </row>
    <row r="12" spans="1:12" x14ac:dyDescent="0.25">
      <c r="A12">
        <v>9</v>
      </c>
      <c r="B12" t="s">
        <v>291</v>
      </c>
      <c r="C12" s="8" t="s">
        <v>275</v>
      </c>
      <c r="D12" s="8">
        <v>-32767</v>
      </c>
      <c r="E12" s="8">
        <v>32767</v>
      </c>
      <c r="F12" s="4">
        <v>0</v>
      </c>
      <c r="G12" s="1"/>
      <c r="H12">
        <v>9</v>
      </c>
      <c r="I12" t="s">
        <v>83</v>
      </c>
    </row>
    <row r="13" spans="1:12" x14ac:dyDescent="0.25">
      <c r="A13">
        <v>10</v>
      </c>
      <c r="B13" t="s">
        <v>99</v>
      </c>
      <c r="C13" s="11" t="s">
        <v>100</v>
      </c>
      <c r="F13" s="3"/>
      <c r="H13">
        <v>10</v>
      </c>
      <c r="I13" t="s">
        <v>84</v>
      </c>
    </row>
    <row r="14" spans="1:12" x14ac:dyDescent="0.25">
      <c r="F14" s="3"/>
      <c r="H14">
        <v>11</v>
      </c>
      <c r="I14" t="s">
        <v>85</v>
      </c>
    </row>
    <row r="15" spans="1:12" x14ac:dyDescent="0.25">
      <c r="F15" s="3"/>
      <c r="H15">
        <v>12</v>
      </c>
      <c r="I15" t="s">
        <v>10</v>
      </c>
    </row>
    <row r="16" spans="1:12" x14ac:dyDescent="0.25">
      <c r="C16" s="10"/>
      <c r="F16" s="3"/>
      <c r="H16">
        <v>13</v>
      </c>
      <c r="I16" t="s">
        <v>10</v>
      </c>
    </row>
    <row r="17" spans="6:9" x14ac:dyDescent="0.25">
      <c r="F17" s="3"/>
      <c r="H17">
        <v>14</v>
      </c>
      <c r="I17" t="s">
        <v>10</v>
      </c>
    </row>
    <row r="18" spans="6:9" x14ac:dyDescent="0.25">
      <c r="F18" s="3"/>
      <c r="H18">
        <v>15</v>
      </c>
      <c r="I18" t="s">
        <v>86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"/>
  <sheetViews>
    <sheetView tabSelected="1" workbookViewId="0">
      <selection sqref="A1:C1"/>
    </sheetView>
  </sheetViews>
  <sheetFormatPr defaultRowHeight="15" x14ac:dyDescent="0.25"/>
  <cols>
    <col min="1" max="1" width="6" bestFit="1" customWidth="1"/>
    <col min="2" max="2" width="26.28515625" bestFit="1" customWidth="1"/>
    <col min="3" max="3" width="12.7109375" style="8" bestFit="1" customWidth="1"/>
    <col min="4" max="6" width="12.7109375" style="8" customWidth="1"/>
    <col min="7" max="8" width="10.28515625" bestFit="1" customWidth="1"/>
    <col min="9" max="9" width="5" bestFit="1" customWidth="1"/>
    <col min="10" max="10" width="4.140625" bestFit="1" customWidth="1"/>
  </cols>
  <sheetData>
    <row r="1" spans="1:9" ht="18.75" x14ac:dyDescent="0.3">
      <c r="A1" s="24" t="s">
        <v>278</v>
      </c>
      <c r="B1" s="24"/>
      <c r="C1" s="24"/>
      <c r="D1" s="17"/>
      <c r="E1" s="17"/>
      <c r="F1" s="17"/>
      <c r="H1" t="s">
        <v>88</v>
      </c>
      <c r="I1">
        <v>100</v>
      </c>
    </row>
    <row r="2" spans="1:9" s="18" customFormat="1" x14ac:dyDescent="0.25">
      <c r="A2" s="18" t="s">
        <v>89</v>
      </c>
      <c r="B2" s="18" t="s">
        <v>90</v>
      </c>
      <c r="C2" s="18" t="s">
        <v>189</v>
      </c>
      <c r="D2" s="18" t="s">
        <v>97</v>
      </c>
      <c r="E2" s="18" t="s">
        <v>98</v>
      </c>
      <c r="F2" s="18" t="s">
        <v>78</v>
      </c>
      <c r="H2" t="s">
        <v>93</v>
      </c>
      <c r="I2" t="s">
        <v>102</v>
      </c>
    </row>
    <row r="3" spans="1:9" x14ac:dyDescent="0.25">
      <c r="A3">
        <v>0</v>
      </c>
      <c r="B3" s="25" t="s">
        <v>279</v>
      </c>
      <c r="C3" s="25" t="s">
        <v>275</v>
      </c>
      <c r="D3" s="25">
        <v>-32767</v>
      </c>
      <c r="E3" s="25">
        <v>32767</v>
      </c>
      <c r="F3" s="25">
        <v>0</v>
      </c>
      <c r="H3" s="2" t="s">
        <v>94</v>
      </c>
      <c r="I3" s="2">
        <v>102</v>
      </c>
    </row>
    <row r="4" spans="1:9" x14ac:dyDescent="0.25">
      <c r="A4">
        <v>1</v>
      </c>
      <c r="B4" s="25"/>
      <c r="C4" s="25"/>
      <c r="D4" s="25"/>
      <c r="E4" s="25"/>
      <c r="F4" s="25"/>
    </row>
    <row r="5" spans="1:9" x14ac:dyDescent="0.25">
      <c r="A5">
        <v>2</v>
      </c>
      <c r="B5" s="25" t="s">
        <v>37</v>
      </c>
      <c r="C5" s="26">
        <v>40044</v>
      </c>
      <c r="D5" s="25">
        <v>0</v>
      </c>
      <c r="E5" s="25">
        <v>999</v>
      </c>
      <c r="F5" s="25">
        <v>700</v>
      </c>
    </row>
    <row r="6" spans="1:9" x14ac:dyDescent="0.25">
      <c r="A6">
        <v>3</v>
      </c>
      <c r="B6" s="25"/>
      <c r="C6" s="26"/>
      <c r="D6" s="25"/>
      <c r="E6" s="25"/>
      <c r="F6" s="25"/>
    </row>
    <row r="7" spans="1:9" x14ac:dyDescent="0.25">
      <c r="A7">
        <v>4</v>
      </c>
      <c r="B7" s="25" t="s">
        <v>45</v>
      </c>
      <c r="C7" s="26">
        <v>40045</v>
      </c>
      <c r="D7" s="25">
        <v>0</v>
      </c>
      <c r="E7" s="25">
        <v>999</v>
      </c>
      <c r="F7" s="25">
        <v>800</v>
      </c>
    </row>
    <row r="8" spans="1:9" x14ac:dyDescent="0.25">
      <c r="A8">
        <v>5</v>
      </c>
      <c r="B8" s="25"/>
      <c r="C8" s="26"/>
      <c r="D8" s="25"/>
      <c r="E8" s="25"/>
      <c r="F8" s="25"/>
    </row>
    <row r="9" spans="1:9" x14ac:dyDescent="0.25">
      <c r="A9">
        <v>6</v>
      </c>
      <c r="B9" s="25" t="s">
        <v>53</v>
      </c>
      <c r="C9" s="26">
        <v>40046</v>
      </c>
      <c r="D9" s="25">
        <v>0</v>
      </c>
      <c r="E9" s="25">
        <v>999</v>
      </c>
      <c r="F9" s="25">
        <v>0</v>
      </c>
    </row>
    <row r="10" spans="1:9" x14ac:dyDescent="0.25">
      <c r="A10">
        <v>7</v>
      </c>
      <c r="B10" s="25"/>
      <c r="C10" s="26"/>
      <c r="D10" s="25"/>
      <c r="E10" s="25"/>
      <c r="F10" s="25"/>
    </row>
    <row r="11" spans="1:9" ht="15" customHeight="1" x14ac:dyDescent="0.25">
      <c r="A11">
        <v>8</v>
      </c>
      <c r="B11" s="27" t="s">
        <v>61</v>
      </c>
      <c r="C11" s="25">
        <v>40056</v>
      </c>
      <c r="D11" s="25">
        <v>0</v>
      </c>
      <c r="E11" s="25">
        <v>999</v>
      </c>
      <c r="F11" s="25">
        <v>60</v>
      </c>
    </row>
    <row r="12" spans="1:9" x14ac:dyDescent="0.25">
      <c r="A12">
        <v>9</v>
      </c>
      <c r="B12" s="27"/>
      <c r="C12" s="25"/>
      <c r="D12" s="25"/>
      <c r="E12" s="25"/>
      <c r="F12" s="25"/>
    </row>
    <row r="13" spans="1:9" x14ac:dyDescent="0.25">
      <c r="A13">
        <v>10</v>
      </c>
      <c r="B13" s="25" t="s">
        <v>69</v>
      </c>
      <c r="C13" s="25">
        <v>40057</v>
      </c>
      <c r="D13" s="25">
        <v>0</v>
      </c>
      <c r="E13" s="25">
        <v>15</v>
      </c>
      <c r="F13" s="25">
        <v>3</v>
      </c>
    </row>
    <row r="14" spans="1:9" x14ac:dyDescent="0.25">
      <c r="A14">
        <v>11</v>
      </c>
      <c r="B14" s="25"/>
      <c r="C14" s="25"/>
      <c r="D14" s="25"/>
      <c r="E14" s="25"/>
      <c r="F14" s="25"/>
    </row>
    <row r="15" spans="1:9" x14ac:dyDescent="0.25">
      <c r="A15">
        <v>12</v>
      </c>
      <c r="B15" s="25" t="s">
        <v>280</v>
      </c>
      <c r="C15" s="25" t="s">
        <v>275</v>
      </c>
      <c r="D15" s="25">
        <v>-32767</v>
      </c>
      <c r="E15" s="25">
        <v>32767</v>
      </c>
      <c r="F15" s="25">
        <v>0</v>
      </c>
    </row>
    <row r="16" spans="1:9" x14ac:dyDescent="0.25">
      <c r="A16">
        <v>13</v>
      </c>
      <c r="B16" s="25"/>
      <c r="C16" s="25"/>
      <c r="D16" s="25"/>
      <c r="E16" s="25"/>
      <c r="F16" s="25"/>
    </row>
    <row r="17" spans="1:6" x14ac:dyDescent="0.25">
      <c r="A17">
        <v>14</v>
      </c>
      <c r="B17" s="25" t="s">
        <v>38</v>
      </c>
      <c r="C17" s="25">
        <f>C5+20</f>
        <v>40064</v>
      </c>
      <c r="D17" s="25">
        <v>0</v>
      </c>
      <c r="E17" s="25">
        <v>999</v>
      </c>
      <c r="F17" s="25">
        <v>700</v>
      </c>
    </row>
    <row r="18" spans="1:6" x14ac:dyDescent="0.25">
      <c r="A18">
        <v>15</v>
      </c>
      <c r="B18" s="25"/>
      <c r="C18" s="25"/>
      <c r="D18" s="25"/>
      <c r="E18" s="25"/>
      <c r="F18" s="25"/>
    </row>
    <row r="19" spans="1:6" x14ac:dyDescent="0.25">
      <c r="A19">
        <v>16</v>
      </c>
      <c r="B19" s="25" t="s">
        <v>46</v>
      </c>
      <c r="C19" s="25">
        <f t="shared" ref="C19" si="0">C7+20</f>
        <v>40065</v>
      </c>
      <c r="D19" s="25">
        <v>0</v>
      </c>
      <c r="E19" s="25">
        <v>999</v>
      </c>
      <c r="F19" s="25">
        <v>800</v>
      </c>
    </row>
    <row r="20" spans="1:6" x14ac:dyDescent="0.25">
      <c r="A20">
        <v>17</v>
      </c>
      <c r="B20" s="25"/>
      <c r="C20" s="25"/>
      <c r="D20" s="25"/>
      <c r="E20" s="25"/>
      <c r="F20" s="25"/>
    </row>
    <row r="21" spans="1:6" x14ac:dyDescent="0.25">
      <c r="A21">
        <v>18</v>
      </c>
      <c r="B21" s="25" t="s">
        <v>54</v>
      </c>
      <c r="C21" s="25">
        <f t="shared" ref="C21" si="1">C9+20</f>
        <v>40066</v>
      </c>
      <c r="D21" s="25">
        <v>0</v>
      </c>
      <c r="E21" s="25">
        <v>999</v>
      </c>
      <c r="F21" s="25">
        <v>0</v>
      </c>
    </row>
    <row r="22" spans="1:6" x14ac:dyDescent="0.25">
      <c r="A22">
        <v>19</v>
      </c>
      <c r="B22" s="25"/>
      <c r="C22" s="25"/>
      <c r="D22" s="25"/>
      <c r="E22" s="25"/>
      <c r="F22" s="25"/>
    </row>
    <row r="23" spans="1:6" x14ac:dyDescent="0.25">
      <c r="A23">
        <v>20</v>
      </c>
      <c r="B23" s="27" t="s">
        <v>62</v>
      </c>
      <c r="C23" s="25">
        <f t="shared" ref="C23" si="2">C11+20</f>
        <v>40076</v>
      </c>
      <c r="D23" s="25">
        <v>0</v>
      </c>
      <c r="E23" s="25">
        <v>999</v>
      </c>
      <c r="F23" s="25">
        <v>60</v>
      </c>
    </row>
    <row r="24" spans="1:6" x14ac:dyDescent="0.25">
      <c r="A24">
        <v>21</v>
      </c>
      <c r="B24" s="27"/>
      <c r="C24" s="25"/>
      <c r="D24" s="25"/>
      <c r="E24" s="25"/>
      <c r="F24" s="25"/>
    </row>
    <row r="25" spans="1:6" x14ac:dyDescent="0.25">
      <c r="A25">
        <v>22</v>
      </c>
      <c r="B25" s="25" t="s">
        <v>70</v>
      </c>
      <c r="C25" s="25">
        <f t="shared" ref="C25" si="3">C13+20</f>
        <v>40077</v>
      </c>
      <c r="D25" s="25">
        <v>0</v>
      </c>
      <c r="E25" s="25">
        <v>15</v>
      </c>
      <c r="F25" s="25">
        <v>3</v>
      </c>
    </row>
    <row r="26" spans="1:6" x14ac:dyDescent="0.25">
      <c r="A26">
        <v>23</v>
      </c>
      <c r="B26" s="25"/>
      <c r="C26" s="25"/>
      <c r="D26" s="25"/>
      <c r="E26" s="25"/>
      <c r="F26" s="25"/>
    </row>
    <row r="27" spans="1:6" x14ac:dyDescent="0.25">
      <c r="A27">
        <v>24</v>
      </c>
      <c r="B27" s="25" t="s">
        <v>281</v>
      </c>
      <c r="C27" s="25" t="s">
        <v>275</v>
      </c>
      <c r="D27" s="25">
        <v>-32767</v>
      </c>
      <c r="E27" s="25">
        <v>32767</v>
      </c>
      <c r="F27" s="25">
        <v>0</v>
      </c>
    </row>
    <row r="28" spans="1:6" x14ac:dyDescent="0.25">
      <c r="A28">
        <v>25</v>
      </c>
      <c r="B28" s="25"/>
      <c r="C28" s="25"/>
      <c r="D28" s="25"/>
      <c r="E28" s="25"/>
      <c r="F28" s="25"/>
    </row>
    <row r="29" spans="1:6" x14ac:dyDescent="0.25">
      <c r="A29">
        <v>26</v>
      </c>
      <c r="B29" s="25" t="s">
        <v>39</v>
      </c>
      <c r="C29" s="25">
        <f t="shared" ref="C29" si="4">C17+20</f>
        <v>40084</v>
      </c>
      <c r="D29" s="25">
        <v>0</v>
      </c>
      <c r="E29" s="25">
        <v>999</v>
      </c>
      <c r="F29" s="25">
        <v>700</v>
      </c>
    </row>
    <row r="30" spans="1:6" x14ac:dyDescent="0.25">
      <c r="A30">
        <v>27</v>
      </c>
      <c r="B30" s="25"/>
      <c r="C30" s="25"/>
      <c r="D30" s="25"/>
      <c r="E30" s="25"/>
      <c r="F30" s="25"/>
    </row>
    <row r="31" spans="1:6" x14ac:dyDescent="0.25">
      <c r="A31">
        <v>28</v>
      </c>
      <c r="B31" s="25" t="s">
        <v>47</v>
      </c>
      <c r="C31" s="25">
        <f t="shared" ref="C31" si="5">C19+20</f>
        <v>40085</v>
      </c>
      <c r="D31" s="25">
        <v>0</v>
      </c>
      <c r="E31" s="25">
        <v>999</v>
      </c>
      <c r="F31" s="25">
        <v>800</v>
      </c>
    </row>
    <row r="32" spans="1:6" x14ac:dyDescent="0.25">
      <c r="A32">
        <v>29</v>
      </c>
      <c r="B32" s="25"/>
      <c r="C32" s="25"/>
      <c r="D32" s="25"/>
      <c r="E32" s="25"/>
      <c r="F32" s="25"/>
    </row>
    <row r="33" spans="1:6" ht="15" customHeight="1" x14ac:dyDescent="0.25">
      <c r="A33">
        <v>30</v>
      </c>
      <c r="B33" s="25" t="s">
        <v>55</v>
      </c>
      <c r="C33" s="25">
        <f t="shared" ref="C33" si="6">C21+20</f>
        <v>40086</v>
      </c>
      <c r="D33" s="25">
        <v>0</v>
      </c>
      <c r="E33" s="25">
        <v>999</v>
      </c>
      <c r="F33" s="25">
        <v>0</v>
      </c>
    </row>
    <row r="34" spans="1:6" x14ac:dyDescent="0.25">
      <c r="A34">
        <v>31</v>
      </c>
      <c r="B34" s="25"/>
      <c r="C34" s="25"/>
      <c r="D34" s="25"/>
      <c r="E34" s="25"/>
      <c r="F34" s="25"/>
    </row>
    <row r="35" spans="1:6" x14ac:dyDescent="0.25">
      <c r="A35">
        <v>32</v>
      </c>
      <c r="B35" s="27" t="s">
        <v>63</v>
      </c>
      <c r="C35" s="25">
        <f t="shared" ref="C35" si="7">C23+20</f>
        <v>40096</v>
      </c>
      <c r="D35" s="25">
        <v>0</v>
      </c>
      <c r="E35" s="25">
        <v>999</v>
      </c>
      <c r="F35" s="25">
        <v>60</v>
      </c>
    </row>
    <row r="36" spans="1:6" x14ac:dyDescent="0.25">
      <c r="A36">
        <v>33</v>
      </c>
      <c r="B36" s="27"/>
      <c r="C36" s="25"/>
      <c r="D36" s="25"/>
      <c r="E36" s="25"/>
      <c r="F36" s="25"/>
    </row>
    <row r="37" spans="1:6" x14ac:dyDescent="0.25">
      <c r="A37">
        <v>34</v>
      </c>
      <c r="B37" s="25" t="s">
        <v>71</v>
      </c>
      <c r="C37" s="25">
        <f t="shared" ref="C37" si="8">C25+20</f>
        <v>40097</v>
      </c>
      <c r="D37" s="25">
        <v>0</v>
      </c>
      <c r="E37" s="25">
        <v>15</v>
      </c>
      <c r="F37" s="25">
        <v>3</v>
      </c>
    </row>
    <row r="38" spans="1:6" x14ac:dyDescent="0.25">
      <c r="A38">
        <v>35</v>
      </c>
      <c r="B38" s="25"/>
      <c r="C38" s="25"/>
      <c r="D38" s="25"/>
      <c r="E38" s="25"/>
      <c r="F38" s="25"/>
    </row>
    <row r="39" spans="1:6" x14ac:dyDescent="0.25">
      <c r="A39">
        <v>36</v>
      </c>
      <c r="B39" s="25" t="s">
        <v>282</v>
      </c>
      <c r="C39" s="25" t="s">
        <v>275</v>
      </c>
      <c r="D39" s="25">
        <v>-32767</v>
      </c>
      <c r="E39" s="25">
        <v>32767</v>
      </c>
      <c r="F39" s="25">
        <v>0</v>
      </c>
    </row>
    <row r="40" spans="1:6" x14ac:dyDescent="0.25">
      <c r="A40">
        <v>37</v>
      </c>
      <c r="B40" s="25"/>
      <c r="C40" s="25"/>
      <c r="D40" s="25"/>
      <c r="E40" s="25"/>
      <c r="F40" s="25"/>
    </row>
    <row r="41" spans="1:6" x14ac:dyDescent="0.25">
      <c r="A41">
        <v>38</v>
      </c>
      <c r="B41" s="25" t="s">
        <v>40</v>
      </c>
      <c r="C41" s="25">
        <f t="shared" ref="C41" si="9">C29+20</f>
        <v>40104</v>
      </c>
      <c r="D41" s="25">
        <v>0</v>
      </c>
      <c r="E41" s="25">
        <v>999</v>
      </c>
      <c r="F41" s="25">
        <v>700</v>
      </c>
    </row>
    <row r="42" spans="1:6" x14ac:dyDescent="0.25">
      <c r="A42">
        <v>39</v>
      </c>
      <c r="B42" s="25"/>
      <c r="C42" s="25"/>
      <c r="D42" s="25"/>
      <c r="E42" s="25"/>
      <c r="F42" s="25"/>
    </row>
    <row r="43" spans="1:6" x14ac:dyDescent="0.25">
      <c r="A43">
        <v>40</v>
      </c>
      <c r="B43" s="25" t="s">
        <v>48</v>
      </c>
      <c r="C43" s="25">
        <f t="shared" ref="C43" si="10">C31+20</f>
        <v>40105</v>
      </c>
      <c r="D43" s="25">
        <v>0</v>
      </c>
      <c r="E43" s="25">
        <v>999</v>
      </c>
      <c r="F43" s="25">
        <v>800</v>
      </c>
    </row>
    <row r="44" spans="1:6" x14ac:dyDescent="0.25">
      <c r="A44">
        <v>41</v>
      </c>
      <c r="B44" s="25"/>
      <c r="C44" s="25"/>
      <c r="D44" s="25"/>
      <c r="E44" s="25"/>
      <c r="F44" s="25"/>
    </row>
    <row r="45" spans="1:6" x14ac:dyDescent="0.25">
      <c r="A45">
        <v>42</v>
      </c>
      <c r="B45" s="25" t="s">
        <v>56</v>
      </c>
      <c r="C45" s="25">
        <f t="shared" ref="C45" si="11">C33+20</f>
        <v>40106</v>
      </c>
      <c r="D45" s="25">
        <v>0</v>
      </c>
      <c r="E45" s="25">
        <v>999</v>
      </c>
      <c r="F45" s="25">
        <v>0</v>
      </c>
    </row>
    <row r="46" spans="1:6" x14ac:dyDescent="0.25">
      <c r="A46">
        <v>43</v>
      </c>
      <c r="B46" s="25"/>
      <c r="C46" s="25"/>
      <c r="D46" s="25"/>
      <c r="E46" s="25"/>
      <c r="F46" s="25"/>
    </row>
    <row r="47" spans="1:6" x14ac:dyDescent="0.25">
      <c r="A47">
        <v>44</v>
      </c>
      <c r="B47" s="27" t="s">
        <v>64</v>
      </c>
      <c r="C47" s="25">
        <f t="shared" ref="C47" si="12">C35+20</f>
        <v>40116</v>
      </c>
      <c r="D47" s="25">
        <v>0</v>
      </c>
      <c r="E47" s="25">
        <v>999</v>
      </c>
      <c r="F47" s="25">
        <v>60</v>
      </c>
    </row>
    <row r="48" spans="1:6" x14ac:dyDescent="0.25">
      <c r="A48">
        <v>45</v>
      </c>
      <c r="B48" s="27"/>
      <c r="C48" s="25"/>
      <c r="D48" s="25"/>
      <c r="E48" s="25"/>
      <c r="F48" s="25"/>
    </row>
    <row r="49" spans="1:6" x14ac:dyDescent="0.25">
      <c r="A49">
        <v>46</v>
      </c>
      <c r="B49" s="25" t="s">
        <v>72</v>
      </c>
      <c r="C49" s="25">
        <f t="shared" ref="C49" si="13">C37+20</f>
        <v>40117</v>
      </c>
      <c r="D49" s="25">
        <v>0</v>
      </c>
      <c r="E49" s="25">
        <v>15</v>
      </c>
      <c r="F49" s="25">
        <v>3</v>
      </c>
    </row>
    <row r="50" spans="1:6" x14ac:dyDescent="0.25">
      <c r="A50">
        <v>47</v>
      </c>
      <c r="B50" s="25"/>
      <c r="C50" s="25"/>
      <c r="D50" s="25"/>
      <c r="E50" s="25"/>
      <c r="F50" s="25"/>
    </row>
    <row r="51" spans="1:6" x14ac:dyDescent="0.25">
      <c r="A51">
        <v>48</v>
      </c>
      <c r="B51" s="25" t="s">
        <v>283</v>
      </c>
      <c r="C51" s="25" t="s">
        <v>275</v>
      </c>
      <c r="D51" s="25">
        <v>-32767</v>
      </c>
      <c r="E51" s="25">
        <v>32767</v>
      </c>
      <c r="F51" s="25">
        <v>0</v>
      </c>
    </row>
    <row r="52" spans="1:6" x14ac:dyDescent="0.25">
      <c r="A52">
        <v>49</v>
      </c>
      <c r="B52" s="25"/>
      <c r="C52" s="25"/>
      <c r="D52" s="25"/>
      <c r="E52" s="25"/>
      <c r="F52" s="25"/>
    </row>
    <row r="53" spans="1:6" x14ac:dyDescent="0.25">
      <c r="A53">
        <v>50</v>
      </c>
      <c r="B53" s="25" t="s">
        <v>41</v>
      </c>
      <c r="C53" s="25">
        <f t="shared" ref="C53" si="14">C41+20</f>
        <v>40124</v>
      </c>
      <c r="D53" s="25">
        <v>0</v>
      </c>
      <c r="E53" s="25">
        <v>999</v>
      </c>
      <c r="F53" s="25">
        <v>700</v>
      </c>
    </row>
    <row r="54" spans="1:6" x14ac:dyDescent="0.25">
      <c r="A54">
        <v>51</v>
      </c>
      <c r="B54" s="25"/>
      <c r="C54" s="25"/>
      <c r="D54" s="25"/>
      <c r="E54" s="25"/>
      <c r="F54" s="25"/>
    </row>
    <row r="55" spans="1:6" x14ac:dyDescent="0.25">
      <c r="A55">
        <v>52</v>
      </c>
      <c r="B55" s="25" t="s">
        <v>49</v>
      </c>
      <c r="C55" s="25">
        <f t="shared" ref="C55" si="15">C43+20</f>
        <v>40125</v>
      </c>
      <c r="D55" s="25">
        <v>0</v>
      </c>
      <c r="E55" s="25">
        <v>999</v>
      </c>
      <c r="F55" s="25">
        <v>800</v>
      </c>
    </row>
    <row r="56" spans="1:6" x14ac:dyDescent="0.25">
      <c r="A56">
        <v>53</v>
      </c>
      <c r="B56" s="25"/>
      <c r="C56" s="25"/>
      <c r="D56" s="25"/>
      <c r="E56" s="25"/>
      <c r="F56" s="25"/>
    </row>
    <row r="57" spans="1:6" x14ac:dyDescent="0.25">
      <c r="A57">
        <v>54</v>
      </c>
      <c r="B57" s="25" t="s">
        <v>57</v>
      </c>
      <c r="C57" s="25">
        <f t="shared" ref="C57" si="16">C45+20</f>
        <v>40126</v>
      </c>
      <c r="D57" s="25">
        <v>0</v>
      </c>
      <c r="E57" s="25">
        <v>999</v>
      </c>
      <c r="F57" s="25">
        <v>0</v>
      </c>
    </row>
    <row r="58" spans="1:6" x14ac:dyDescent="0.25">
      <c r="A58">
        <v>55</v>
      </c>
      <c r="B58" s="25"/>
      <c r="C58" s="25"/>
      <c r="D58" s="25"/>
      <c r="E58" s="25"/>
      <c r="F58" s="25"/>
    </row>
    <row r="59" spans="1:6" x14ac:dyDescent="0.25">
      <c r="A59">
        <v>56</v>
      </c>
      <c r="B59" s="27" t="s">
        <v>65</v>
      </c>
      <c r="C59" s="25">
        <f t="shared" ref="C59" si="17">C47+20</f>
        <v>40136</v>
      </c>
      <c r="D59" s="25">
        <v>0</v>
      </c>
      <c r="E59" s="25">
        <v>999</v>
      </c>
      <c r="F59" s="25">
        <v>60</v>
      </c>
    </row>
    <row r="60" spans="1:6" x14ac:dyDescent="0.25">
      <c r="A60">
        <v>57</v>
      </c>
      <c r="B60" s="27"/>
      <c r="C60" s="25"/>
      <c r="D60" s="25"/>
      <c r="E60" s="25"/>
      <c r="F60" s="25"/>
    </row>
    <row r="61" spans="1:6" x14ac:dyDescent="0.25">
      <c r="A61">
        <v>58</v>
      </c>
      <c r="B61" s="25" t="s">
        <v>73</v>
      </c>
      <c r="C61" s="25">
        <f t="shared" ref="C61" si="18">C49+20</f>
        <v>40137</v>
      </c>
      <c r="D61" s="25">
        <v>0</v>
      </c>
      <c r="E61" s="25">
        <v>15</v>
      </c>
      <c r="F61" s="25">
        <v>3</v>
      </c>
    </row>
    <row r="62" spans="1:6" x14ac:dyDescent="0.25">
      <c r="A62">
        <v>59</v>
      </c>
      <c r="B62" s="25"/>
      <c r="C62" s="25"/>
      <c r="D62" s="25"/>
      <c r="E62" s="25"/>
      <c r="F62" s="25"/>
    </row>
    <row r="63" spans="1:6" x14ac:dyDescent="0.25">
      <c r="A63">
        <v>60</v>
      </c>
      <c r="B63" s="25" t="s">
        <v>284</v>
      </c>
      <c r="C63" s="25" t="s">
        <v>275</v>
      </c>
      <c r="D63" s="25">
        <v>-32767</v>
      </c>
      <c r="E63" s="25">
        <v>32767</v>
      </c>
      <c r="F63" s="25">
        <v>0</v>
      </c>
    </row>
    <row r="64" spans="1:6" x14ac:dyDescent="0.25">
      <c r="A64">
        <v>61</v>
      </c>
      <c r="B64" s="25"/>
      <c r="C64" s="25"/>
      <c r="D64" s="25"/>
      <c r="E64" s="25"/>
      <c r="F64" s="25"/>
    </row>
    <row r="65" spans="1:6" x14ac:dyDescent="0.25">
      <c r="A65">
        <v>62</v>
      </c>
      <c r="B65" s="25" t="s">
        <v>42</v>
      </c>
      <c r="C65" s="25">
        <f t="shared" ref="C65" si="19">C53+20</f>
        <v>40144</v>
      </c>
      <c r="D65" s="25">
        <v>0</v>
      </c>
      <c r="E65" s="25">
        <v>999</v>
      </c>
      <c r="F65" s="25">
        <v>700</v>
      </c>
    </row>
    <row r="66" spans="1:6" x14ac:dyDescent="0.25">
      <c r="A66">
        <v>63</v>
      </c>
      <c r="B66" s="25"/>
      <c r="C66" s="25"/>
      <c r="D66" s="25"/>
      <c r="E66" s="25"/>
      <c r="F66" s="25"/>
    </row>
    <row r="67" spans="1:6" x14ac:dyDescent="0.25">
      <c r="A67">
        <v>64</v>
      </c>
      <c r="B67" s="25" t="s">
        <v>50</v>
      </c>
      <c r="C67" s="25">
        <f t="shared" ref="C67" si="20">C55+20</f>
        <v>40145</v>
      </c>
      <c r="D67" s="25">
        <v>0</v>
      </c>
      <c r="E67" s="25">
        <v>999</v>
      </c>
      <c r="F67" s="25">
        <v>800</v>
      </c>
    </row>
    <row r="68" spans="1:6" x14ac:dyDescent="0.25">
      <c r="A68">
        <v>65</v>
      </c>
      <c r="B68" s="25"/>
      <c r="C68" s="25"/>
      <c r="D68" s="25"/>
      <c r="E68" s="25"/>
      <c r="F68" s="25"/>
    </row>
    <row r="69" spans="1:6" x14ac:dyDescent="0.25">
      <c r="A69">
        <v>66</v>
      </c>
      <c r="B69" s="25" t="s">
        <v>58</v>
      </c>
      <c r="C69" s="25">
        <f t="shared" ref="C69" si="21">C57+20</f>
        <v>40146</v>
      </c>
      <c r="D69" s="25">
        <v>0</v>
      </c>
      <c r="E69" s="25">
        <v>999</v>
      </c>
      <c r="F69" s="25">
        <v>0</v>
      </c>
    </row>
    <row r="70" spans="1:6" x14ac:dyDescent="0.25">
      <c r="A70">
        <v>67</v>
      </c>
      <c r="B70" s="25"/>
      <c r="C70" s="25"/>
      <c r="D70" s="25"/>
      <c r="E70" s="25"/>
      <c r="F70" s="25"/>
    </row>
    <row r="71" spans="1:6" x14ac:dyDescent="0.25">
      <c r="A71">
        <v>68</v>
      </c>
      <c r="B71" s="27" t="s">
        <v>66</v>
      </c>
      <c r="C71" s="25">
        <f t="shared" ref="C71" si="22">C59+20</f>
        <v>40156</v>
      </c>
      <c r="D71" s="25">
        <v>0</v>
      </c>
      <c r="E71" s="25">
        <v>999</v>
      </c>
      <c r="F71" s="25">
        <v>60</v>
      </c>
    </row>
    <row r="72" spans="1:6" x14ac:dyDescent="0.25">
      <c r="A72">
        <v>69</v>
      </c>
      <c r="B72" s="27"/>
      <c r="C72" s="25"/>
      <c r="D72" s="25"/>
      <c r="E72" s="25"/>
      <c r="F72" s="25"/>
    </row>
    <row r="73" spans="1:6" x14ac:dyDescent="0.25">
      <c r="A73">
        <v>70</v>
      </c>
      <c r="B73" s="25" t="s">
        <v>74</v>
      </c>
      <c r="C73" s="25">
        <f t="shared" ref="C73" si="23">C61+20</f>
        <v>40157</v>
      </c>
      <c r="D73" s="25">
        <v>0</v>
      </c>
      <c r="E73" s="25">
        <v>15</v>
      </c>
      <c r="F73" s="25">
        <v>3</v>
      </c>
    </row>
    <row r="74" spans="1:6" x14ac:dyDescent="0.25">
      <c r="A74">
        <v>71</v>
      </c>
      <c r="B74" s="25"/>
      <c r="C74" s="25"/>
      <c r="D74" s="25"/>
      <c r="E74" s="25"/>
      <c r="F74" s="25"/>
    </row>
    <row r="75" spans="1:6" x14ac:dyDescent="0.25">
      <c r="A75">
        <v>72</v>
      </c>
      <c r="B75" s="25" t="s">
        <v>285</v>
      </c>
      <c r="C75" s="25" t="s">
        <v>275</v>
      </c>
      <c r="D75" s="25">
        <v>-32767</v>
      </c>
      <c r="E75" s="25">
        <v>32767</v>
      </c>
      <c r="F75" s="25">
        <v>0</v>
      </c>
    </row>
    <row r="76" spans="1:6" x14ac:dyDescent="0.25">
      <c r="A76">
        <v>73</v>
      </c>
      <c r="B76" s="25"/>
      <c r="C76" s="25"/>
      <c r="D76" s="25"/>
      <c r="E76" s="25"/>
      <c r="F76" s="25"/>
    </row>
    <row r="77" spans="1:6" x14ac:dyDescent="0.25">
      <c r="A77">
        <v>74</v>
      </c>
      <c r="B77" s="25" t="s">
        <v>43</v>
      </c>
      <c r="C77" s="25">
        <f t="shared" ref="C77" si="24">C65+20</f>
        <v>40164</v>
      </c>
      <c r="D77" s="25">
        <v>0</v>
      </c>
      <c r="E77" s="25">
        <v>999</v>
      </c>
      <c r="F77" s="25">
        <v>700</v>
      </c>
    </row>
    <row r="78" spans="1:6" x14ac:dyDescent="0.25">
      <c r="A78">
        <v>75</v>
      </c>
      <c r="B78" s="25"/>
      <c r="C78" s="25"/>
      <c r="D78" s="25"/>
      <c r="E78" s="25"/>
      <c r="F78" s="25"/>
    </row>
    <row r="79" spans="1:6" x14ac:dyDescent="0.25">
      <c r="A79">
        <v>76</v>
      </c>
      <c r="B79" s="25" t="s">
        <v>51</v>
      </c>
      <c r="C79" s="25">
        <f t="shared" ref="C79" si="25">C67+20</f>
        <v>40165</v>
      </c>
      <c r="D79" s="25">
        <v>0</v>
      </c>
      <c r="E79" s="25">
        <v>999</v>
      </c>
      <c r="F79" s="25">
        <v>800</v>
      </c>
    </row>
    <row r="80" spans="1:6" x14ac:dyDescent="0.25">
      <c r="A80">
        <v>77</v>
      </c>
      <c r="B80" s="25"/>
      <c r="C80" s="25"/>
      <c r="D80" s="25"/>
      <c r="E80" s="25"/>
      <c r="F80" s="25"/>
    </row>
    <row r="81" spans="1:6" x14ac:dyDescent="0.25">
      <c r="A81">
        <v>78</v>
      </c>
      <c r="B81" s="25" t="s">
        <v>59</v>
      </c>
      <c r="C81" s="25">
        <f t="shared" ref="C81" si="26">C69+20</f>
        <v>40166</v>
      </c>
      <c r="D81" s="25">
        <v>0</v>
      </c>
      <c r="E81" s="25">
        <v>999</v>
      </c>
      <c r="F81" s="25">
        <v>0</v>
      </c>
    </row>
    <row r="82" spans="1:6" x14ac:dyDescent="0.25">
      <c r="A82">
        <v>79</v>
      </c>
      <c r="B82" s="25"/>
      <c r="C82" s="25"/>
      <c r="D82" s="25"/>
      <c r="E82" s="25"/>
      <c r="F82" s="25"/>
    </row>
    <row r="83" spans="1:6" x14ac:dyDescent="0.25">
      <c r="A83">
        <v>80</v>
      </c>
      <c r="B83" s="27" t="s">
        <v>67</v>
      </c>
      <c r="C83" s="25">
        <f t="shared" ref="C83" si="27">C71+20</f>
        <v>40176</v>
      </c>
      <c r="D83" s="25">
        <v>0</v>
      </c>
      <c r="E83" s="25">
        <v>999</v>
      </c>
      <c r="F83" s="25">
        <v>60</v>
      </c>
    </row>
    <row r="84" spans="1:6" x14ac:dyDescent="0.25">
      <c r="A84">
        <v>81</v>
      </c>
      <c r="B84" s="27"/>
      <c r="C84" s="25"/>
      <c r="D84" s="25"/>
      <c r="E84" s="25"/>
      <c r="F84" s="25"/>
    </row>
    <row r="85" spans="1:6" x14ac:dyDescent="0.25">
      <c r="A85">
        <v>82</v>
      </c>
      <c r="B85" s="25" t="s">
        <v>75</v>
      </c>
      <c r="C85" s="25">
        <f t="shared" ref="C85" si="28">C73+20</f>
        <v>40177</v>
      </c>
      <c r="D85" s="25">
        <v>0</v>
      </c>
      <c r="E85" s="25">
        <v>15</v>
      </c>
      <c r="F85" s="25">
        <v>3</v>
      </c>
    </row>
    <row r="86" spans="1:6" x14ac:dyDescent="0.25">
      <c r="A86">
        <v>83</v>
      </c>
      <c r="B86" s="25"/>
      <c r="C86" s="25"/>
      <c r="D86" s="25"/>
      <c r="E86" s="25"/>
      <c r="F86" s="25"/>
    </row>
    <row r="87" spans="1:6" x14ac:dyDescent="0.25">
      <c r="A87">
        <v>84</v>
      </c>
      <c r="B87" s="25" t="s">
        <v>286</v>
      </c>
      <c r="C87" s="25" t="s">
        <v>275</v>
      </c>
      <c r="D87" s="25">
        <v>-32767</v>
      </c>
      <c r="E87" s="25">
        <v>32767</v>
      </c>
      <c r="F87" s="25">
        <v>0</v>
      </c>
    </row>
    <row r="88" spans="1:6" x14ac:dyDescent="0.25">
      <c r="A88">
        <v>85</v>
      </c>
      <c r="B88" s="25"/>
      <c r="C88" s="25"/>
      <c r="D88" s="25"/>
      <c r="E88" s="25"/>
      <c r="F88" s="25"/>
    </row>
    <row r="89" spans="1:6" x14ac:dyDescent="0.25">
      <c r="A89">
        <v>86</v>
      </c>
      <c r="B89" s="25" t="s">
        <v>44</v>
      </c>
      <c r="C89" s="25">
        <f t="shared" ref="C89" si="29">C77+20</f>
        <v>40184</v>
      </c>
      <c r="D89" s="25">
        <v>0</v>
      </c>
      <c r="E89" s="25">
        <v>999</v>
      </c>
      <c r="F89" s="25">
        <v>700</v>
      </c>
    </row>
    <row r="90" spans="1:6" x14ac:dyDescent="0.25">
      <c r="A90">
        <v>87</v>
      </c>
      <c r="B90" s="25"/>
      <c r="C90" s="25"/>
      <c r="D90" s="25"/>
      <c r="E90" s="25"/>
      <c r="F90" s="25"/>
    </row>
    <row r="91" spans="1:6" x14ac:dyDescent="0.25">
      <c r="A91">
        <v>88</v>
      </c>
      <c r="B91" s="25" t="s">
        <v>52</v>
      </c>
      <c r="C91" s="25">
        <f t="shared" ref="C91" si="30">C79+20</f>
        <v>40185</v>
      </c>
      <c r="D91" s="25">
        <v>0</v>
      </c>
      <c r="E91" s="25">
        <v>999</v>
      </c>
      <c r="F91" s="25">
        <v>800</v>
      </c>
    </row>
    <row r="92" spans="1:6" x14ac:dyDescent="0.25">
      <c r="A92">
        <v>89</v>
      </c>
      <c r="B92" s="25"/>
      <c r="C92" s="25"/>
      <c r="D92" s="25"/>
      <c r="E92" s="25"/>
      <c r="F92" s="25"/>
    </row>
    <row r="93" spans="1:6" x14ac:dyDescent="0.25">
      <c r="A93">
        <v>90</v>
      </c>
      <c r="B93" s="25" t="s">
        <v>60</v>
      </c>
      <c r="C93" s="25">
        <f t="shared" ref="C93" si="31">C81+20</f>
        <v>40186</v>
      </c>
      <c r="D93" s="25">
        <v>0</v>
      </c>
      <c r="E93" s="25">
        <v>999</v>
      </c>
      <c r="F93" s="25">
        <v>0</v>
      </c>
    </row>
    <row r="94" spans="1:6" x14ac:dyDescent="0.25">
      <c r="A94">
        <v>91</v>
      </c>
      <c r="B94" s="25"/>
      <c r="C94" s="25"/>
      <c r="D94" s="25"/>
      <c r="E94" s="25"/>
      <c r="F94" s="25"/>
    </row>
    <row r="95" spans="1:6" x14ac:dyDescent="0.25">
      <c r="A95">
        <v>92</v>
      </c>
      <c r="B95" s="27" t="s">
        <v>68</v>
      </c>
      <c r="C95" s="25">
        <f t="shared" ref="C95" si="32">C83+20</f>
        <v>40196</v>
      </c>
      <c r="D95" s="25">
        <v>0</v>
      </c>
      <c r="E95" s="25">
        <v>999</v>
      </c>
      <c r="F95" s="25">
        <v>60</v>
      </c>
    </row>
    <row r="96" spans="1:6" x14ac:dyDescent="0.25">
      <c r="A96">
        <v>93</v>
      </c>
      <c r="B96" s="27"/>
      <c r="C96" s="25"/>
      <c r="D96" s="25"/>
      <c r="E96" s="25"/>
      <c r="F96" s="25"/>
    </row>
    <row r="97" spans="1:7" x14ac:dyDescent="0.25">
      <c r="A97">
        <v>94</v>
      </c>
      <c r="B97" s="25" t="s">
        <v>76</v>
      </c>
      <c r="C97" s="25">
        <f t="shared" ref="C97" si="33">C85+20</f>
        <v>40197</v>
      </c>
      <c r="D97" s="25">
        <v>0</v>
      </c>
      <c r="E97" s="25">
        <v>15</v>
      </c>
      <c r="F97" s="25">
        <v>3</v>
      </c>
    </row>
    <row r="98" spans="1:7" x14ac:dyDescent="0.25">
      <c r="A98">
        <v>95</v>
      </c>
      <c r="B98" s="25"/>
      <c r="C98" s="25"/>
      <c r="D98" s="25"/>
      <c r="E98" s="25"/>
      <c r="F98" s="25"/>
    </row>
    <row r="99" spans="1:7" x14ac:dyDescent="0.25">
      <c r="A99">
        <v>96</v>
      </c>
      <c r="B99" s="25" t="s">
        <v>35</v>
      </c>
      <c r="C99" s="26">
        <v>40014</v>
      </c>
      <c r="D99" s="25">
        <v>1</v>
      </c>
      <c r="E99" s="25">
        <v>8</v>
      </c>
      <c r="F99" s="25">
        <v>8</v>
      </c>
    </row>
    <row r="100" spans="1:7" x14ac:dyDescent="0.25">
      <c r="A100">
        <v>97</v>
      </c>
      <c r="B100" s="25"/>
      <c r="C100" s="26"/>
      <c r="D100" s="25"/>
      <c r="E100" s="25"/>
      <c r="F100" s="25"/>
    </row>
    <row r="101" spans="1:7" x14ac:dyDescent="0.25">
      <c r="A101">
        <v>98</v>
      </c>
      <c r="B101" s="25" t="s">
        <v>77</v>
      </c>
      <c r="C101" s="26">
        <v>40016</v>
      </c>
      <c r="D101" s="25">
        <v>0</v>
      </c>
      <c r="E101" s="25">
        <v>15</v>
      </c>
      <c r="F101" s="25">
        <v>3</v>
      </c>
    </row>
    <row r="102" spans="1:7" x14ac:dyDescent="0.25">
      <c r="A102">
        <v>99</v>
      </c>
      <c r="B102" s="25"/>
      <c r="C102" s="26"/>
      <c r="D102" s="25"/>
      <c r="E102" s="25"/>
      <c r="F102" s="25"/>
    </row>
    <row r="104" spans="1:7" ht="60" x14ac:dyDescent="0.25">
      <c r="A104" s="20" t="s">
        <v>276</v>
      </c>
      <c r="B104" s="21" t="s">
        <v>277</v>
      </c>
      <c r="D104" s="21"/>
      <c r="E104" s="22"/>
      <c r="F104" s="23"/>
      <c r="G104" s="22"/>
    </row>
  </sheetData>
  <mergeCells count="251">
    <mergeCell ref="D99:D100"/>
    <mergeCell ref="E99:E100"/>
    <mergeCell ref="F99:F100"/>
    <mergeCell ref="D101:D102"/>
    <mergeCell ref="E101:E102"/>
    <mergeCell ref="F101:F102"/>
    <mergeCell ref="D95:D96"/>
    <mergeCell ref="E95:E96"/>
    <mergeCell ref="F95:F96"/>
    <mergeCell ref="D97:D98"/>
    <mergeCell ref="E97:E98"/>
    <mergeCell ref="F97:F98"/>
    <mergeCell ref="D91:D92"/>
    <mergeCell ref="E91:E92"/>
    <mergeCell ref="F91:F92"/>
    <mergeCell ref="D93:D94"/>
    <mergeCell ref="E93:E94"/>
    <mergeCell ref="F93:F94"/>
    <mergeCell ref="D87:D88"/>
    <mergeCell ref="E87:E88"/>
    <mergeCell ref="F87:F88"/>
    <mergeCell ref="D89:D90"/>
    <mergeCell ref="E89:E90"/>
    <mergeCell ref="F89:F90"/>
    <mergeCell ref="D83:D84"/>
    <mergeCell ref="E83:E84"/>
    <mergeCell ref="F83:F84"/>
    <mergeCell ref="D85:D86"/>
    <mergeCell ref="E85:E86"/>
    <mergeCell ref="F85:F86"/>
    <mergeCell ref="D79:D80"/>
    <mergeCell ref="E79:E80"/>
    <mergeCell ref="F79:F80"/>
    <mergeCell ref="D81:D82"/>
    <mergeCell ref="E81:E82"/>
    <mergeCell ref="F81:F82"/>
    <mergeCell ref="D75:D76"/>
    <mergeCell ref="E75:E76"/>
    <mergeCell ref="F75:F76"/>
    <mergeCell ref="D77:D78"/>
    <mergeCell ref="E77:E78"/>
    <mergeCell ref="F77:F78"/>
    <mergeCell ref="D71:D72"/>
    <mergeCell ref="E71:E72"/>
    <mergeCell ref="F71:F72"/>
    <mergeCell ref="D73:D74"/>
    <mergeCell ref="E73:E74"/>
    <mergeCell ref="F73:F74"/>
    <mergeCell ref="D67:D68"/>
    <mergeCell ref="E67:E68"/>
    <mergeCell ref="F67:F68"/>
    <mergeCell ref="D69:D70"/>
    <mergeCell ref="E69:E70"/>
    <mergeCell ref="F69:F70"/>
    <mergeCell ref="D63:D64"/>
    <mergeCell ref="E63:E64"/>
    <mergeCell ref="F63:F64"/>
    <mergeCell ref="D65:D66"/>
    <mergeCell ref="E65:E66"/>
    <mergeCell ref="F65:F66"/>
    <mergeCell ref="E47:E48"/>
    <mergeCell ref="F47:F48"/>
    <mergeCell ref="D59:D60"/>
    <mergeCell ref="E59:E60"/>
    <mergeCell ref="F59:F60"/>
    <mergeCell ref="D61:D62"/>
    <mergeCell ref="E61:E62"/>
    <mergeCell ref="F61:F62"/>
    <mergeCell ref="D55:D56"/>
    <mergeCell ref="E55:E56"/>
    <mergeCell ref="F55:F56"/>
    <mergeCell ref="D57:D58"/>
    <mergeCell ref="E57:E58"/>
    <mergeCell ref="F57:F58"/>
    <mergeCell ref="C99:C100"/>
    <mergeCell ref="C101:C102"/>
    <mergeCell ref="D37:D38"/>
    <mergeCell ref="E37:E38"/>
    <mergeCell ref="D43:D44"/>
    <mergeCell ref="E43:E44"/>
    <mergeCell ref="D49:D50"/>
    <mergeCell ref="E49:E50"/>
    <mergeCell ref="C87:C88"/>
    <mergeCell ref="C89:C90"/>
    <mergeCell ref="C91:C92"/>
    <mergeCell ref="C93:C94"/>
    <mergeCell ref="C95:C96"/>
    <mergeCell ref="C97:C98"/>
    <mergeCell ref="C75:C76"/>
    <mergeCell ref="C77:C78"/>
    <mergeCell ref="C79:C80"/>
    <mergeCell ref="D51:D52"/>
    <mergeCell ref="E51:E52"/>
    <mergeCell ref="D53:D54"/>
    <mergeCell ref="E53:E54"/>
    <mergeCell ref="D45:D46"/>
    <mergeCell ref="E45:E46"/>
    <mergeCell ref="D47:D48"/>
    <mergeCell ref="C81:C82"/>
    <mergeCell ref="C83:C84"/>
    <mergeCell ref="C85:C86"/>
    <mergeCell ref="C63:C64"/>
    <mergeCell ref="C65:C66"/>
    <mergeCell ref="C67:C68"/>
    <mergeCell ref="C69:C70"/>
    <mergeCell ref="C71:C72"/>
    <mergeCell ref="C73:C74"/>
    <mergeCell ref="C57:C58"/>
    <mergeCell ref="C59:C60"/>
    <mergeCell ref="C61:C62"/>
    <mergeCell ref="C37:C38"/>
    <mergeCell ref="C39:C40"/>
    <mergeCell ref="C41:C42"/>
    <mergeCell ref="C43:C44"/>
    <mergeCell ref="C45:C46"/>
    <mergeCell ref="C47:C48"/>
    <mergeCell ref="C49:C50"/>
    <mergeCell ref="B97:B98"/>
    <mergeCell ref="B99:B100"/>
    <mergeCell ref="B101:B102"/>
    <mergeCell ref="B85:B86"/>
    <mergeCell ref="B87:B88"/>
    <mergeCell ref="B89:B90"/>
    <mergeCell ref="B91:B92"/>
    <mergeCell ref="B93:B94"/>
    <mergeCell ref="B95:B96"/>
    <mergeCell ref="B75:B76"/>
    <mergeCell ref="B77:B78"/>
    <mergeCell ref="B79:B80"/>
    <mergeCell ref="B81:B82"/>
    <mergeCell ref="B83:B84"/>
    <mergeCell ref="B61:B62"/>
    <mergeCell ref="B63:B64"/>
    <mergeCell ref="B65:B66"/>
    <mergeCell ref="B67:B68"/>
    <mergeCell ref="B69:B70"/>
    <mergeCell ref="B71:B72"/>
    <mergeCell ref="B57:B58"/>
    <mergeCell ref="B59:B60"/>
    <mergeCell ref="B37:B38"/>
    <mergeCell ref="B39:B40"/>
    <mergeCell ref="B41:B42"/>
    <mergeCell ref="B43:B44"/>
    <mergeCell ref="B45:B46"/>
    <mergeCell ref="B47:B48"/>
    <mergeCell ref="B73:B74"/>
    <mergeCell ref="B35:B36"/>
    <mergeCell ref="C35:C36"/>
    <mergeCell ref="D35:D36"/>
    <mergeCell ref="E35:E36"/>
    <mergeCell ref="F35:F36"/>
    <mergeCell ref="B49:B50"/>
    <mergeCell ref="B51:B52"/>
    <mergeCell ref="B53:B54"/>
    <mergeCell ref="B55:B56"/>
    <mergeCell ref="C51:C52"/>
    <mergeCell ref="C53:C54"/>
    <mergeCell ref="C55:C56"/>
    <mergeCell ref="F37:F38"/>
    <mergeCell ref="D39:D40"/>
    <mergeCell ref="E39:E40"/>
    <mergeCell ref="F39:F40"/>
    <mergeCell ref="D41:D42"/>
    <mergeCell ref="E41:E42"/>
    <mergeCell ref="F41:F42"/>
    <mergeCell ref="F49:F50"/>
    <mergeCell ref="F51:F52"/>
    <mergeCell ref="F53:F54"/>
    <mergeCell ref="F43:F44"/>
    <mergeCell ref="F45:F46"/>
    <mergeCell ref="B31:B32"/>
    <mergeCell ref="C31:C32"/>
    <mergeCell ref="D31:D32"/>
    <mergeCell ref="E31:E32"/>
    <mergeCell ref="F31:F32"/>
    <mergeCell ref="B33:B34"/>
    <mergeCell ref="C33:C34"/>
    <mergeCell ref="D33:D34"/>
    <mergeCell ref="E33:E34"/>
    <mergeCell ref="F33:F34"/>
    <mergeCell ref="B27:B28"/>
    <mergeCell ref="C27:C28"/>
    <mergeCell ref="D27:D28"/>
    <mergeCell ref="E27:E28"/>
    <mergeCell ref="F27:F28"/>
    <mergeCell ref="B29:B30"/>
    <mergeCell ref="C29:C30"/>
    <mergeCell ref="D29:D30"/>
    <mergeCell ref="E29:E30"/>
    <mergeCell ref="F29:F30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B19:B20"/>
    <mergeCell ref="C19:C20"/>
    <mergeCell ref="D19:D20"/>
    <mergeCell ref="E19:E20"/>
    <mergeCell ref="F19:F20"/>
    <mergeCell ref="B21:B22"/>
    <mergeCell ref="C21:C22"/>
    <mergeCell ref="D21:D22"/>
    <mergeCell ref="E21:E22"/>
    <mergeCell ref="F21:F22"/>
    <mergeCell ref="B15:B16"/>
    <mergeCell ref="C15:C16"/>
    <mergeCell ref="D15:D16"/>
    <mergeCell ref="E15:E16"/>
    <mergeCell ref="F15:F16"/>
    <mergeCell ref="B17:B18"/>
    <mergeCell ref="C17:C18"/>
    <mergeCell ref="D17:D18"/>
    <mergeCell ref="E17:E18"/>
    <mergeCell ref="F17:F18"/>
    <mergeCell ref="B11:B12"/>
    <mergeCell ref="C11:C12"/>
    <mergeCell ref="D11:D12"/>
    <mergeCell ref="E11:E12"/>
    <mergeCell ref="F11:F12"/>
    <mergeCell ref="B13:B14"/>
    <mergeCell ref="C13:C14"/>
    <mergeCell ref="D13:D14"/>
    <mergeCell ref="E13:E14"/>
    <mergeCell ref="F13:F14"/>
    <mergeCell ref="B7:B8"/>
    <mergeCell ref="C7:C8"/>
    <mergeCell ref="D7:D8"/>
    <mergeCell ref="E7:E8"/>
    <mergeCell ref="F7:F8"/>
    <mergeCell ref="B9:B10"/>
    <mergeCell ref="C9:C10"/>
    <mergeCell ref="D9:D10"/>
    <mergeCell ref="E9:E10"/>
    <mergeCell ref="F9:F10"/>
    <mergeCell ref="A1:C1"/>
    <mergeCell ref="B3:B4"/>
    <mergeCell ref="C3:C4"/>
    <mergeCell ref="D3:D4"/>
    <mergeCell ref="E3:E4"/>
    <mergeCell ref="F3:F4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sqref="A1:XFD1048576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15" width="11.7109375" style="8" bestFit="1" customWidth="1"/>
    <col min="17" max="17" width="31.5703125" bestFit="1" customWidth="1"/>
    <col min="18" max="18" width="10.28515625" style="2" bestFit="1" customWidth="1"/>
  </cols>
  <sheetData>
    <row r="1" spans="1:18" s="12" customFormat="1" x14ac:dyDescent="0.25">
      <c r="A1" s="28" t="s">
        <v>103</v>
      </c>
      <c r="B1" s="28" t="s">
        <v>104</v>
      </c>
      <c r="C1" s="28" t="s">
        <v>105</v>
      </c>
      <c r="D1" s="28" t="s">
        <v>106</v>
      </c>
      <c r="E1" s="28" t="s">
        <v>107</v>
      </c>
      <c r="F1" s="28" t="s">
        <v>108</v>
      </c>
      <c r="G1" s="28" t="s">
        <v>109</v>
      </c>
      <c r="H1" s="29" t="s">
        <v>110</v>
      </c>
      <c r="I1" s="29"/>
      <c r="J1" s="29"/>
      <c r="K1" s="29"/>
      <c r="L1" s="29"/>
      <c r="M1" s="29"/>
      <c r="N1" s="29"/>
      <c r="O1" s="29"/>
      <c r="Q1" s="13" t="s">
        <v>111</v>
      </c>
      <c r="R1" s="16" t="s">
        <v>235</v>
      </c>
    </row>
    <row r="2" spans="1:18" s="12" customFormat="1" x14ac:dyDescent="0.25">
      <c r="A2" s="28"/>
      <c r="B2" s="28"/>
      <c r="C2" s="28"/>
      <c r="D2" s="28"/>
      <c r="E2" s="28"/>
      <c r="F2" s="28"/>
      <c r="G2" s="28"/>
      <c r="H2" s="6">
        <v>1</v>
      </c>
      <c r="I2" s="6">
        <v>2</v>
      </c>
      <c r="J2" s="6">
        <v>3</v>
      </c>
      <c r="K2" s="6">
        <v>4</v>
      </c>
      <c r="L2" s="6">
        <v>5</v>
      </c>
      <c r="M2" s="6">
        <v>6</v>
      </c>
      <c r="N2" s="6">
        <v>7</v>
      </c>
      <c r="O2" s="6">
        <v>8</v>
      </c>
      <c r="Q2" s="13" t="s">
        <v>112</v>
      </c>
      <c r="R2" s="15" t="s">
        <v>36</v>
      </c>
    </row>
    <row r="3" spans="1:18" x14ac:dyDescent="0.25">
      <c r="A3" t="s">
        <v>193</v>
      </c>
      <c r="B3">
        <v>1</v>
      </c>
      <c r="C3" t="s">
        <v>194</v>
      </c>
      <c r="D3" t="s">
        <v>113</v>
      </c>
      <c r="E3" t="s">
        <v>114</v>
      </c>
      <c r="F3">
        <v>2</v>
      </c>
      <c r="G3">
        <v>12</v>
      </c>
      <c r="H3" s="8" t="s">
        <v>217</v>
      </c>
      <c r="I3" s="8" t="s">
        <v>218</v>
      </c>
      <c r="J3" s="8" t="s">
        <v>219</v>
      </c>
      <c r="K3" s="8" t="s">
        <v>220</v>
      </c>
      <c r="L3" s="8" t="s">
        <v>221</v>
      </c>
      <c r="M3" s="8" t="s">
        <v>222</v>
      </c>
      <c r="N3" s="8" t="s">
        <v>223</v>
      </c>
      <c r="O3" s="8" t="s">
        <v>224</v>
      </c>
      <c r="Q3" s="13" t="s">
        <v>115</v>
      </c>
      <c r="R3" s="2">
        <v>1</v>
      </c>
    </row>
    <row r="4" spans="1:18" x14ac:dyDescent="0.25">
      <c r="A4" t="s">
        <v>118</v>
      </c>
      <c r="B4">
        <v>2</v>
      </c>
      <c r="C4" t="s">
        <v>119</v>
      </c>
      <c r="D4" t="s">
        <v>0</v>
      </c>
      <c r="E4" t="s">
        <v>114</v>
      </c>
      <c r="F4">
        <v>0</v>
      </c>
      <c r="G4">
        <v>8</v>
      </c>
      <c r="H4" s="8">
        <v>40040</v>
      </c>
      <c r="I4" s="8">
        <f t="shared" ref="I4:O13" si="0">H4+20</f>
        <v>40060</v>
      </c>
      <c r="J4" s="8">
        <f t="shared" si="0"/>
        <v>40080</v>
      </c>
      <c r="K4" s="8">
        <f t="shared" si="0"/>
        <v>40100</v>
      </c>
      <c r="L4" s="8">
        <f t="shared" si="0"/>
        <v>40120</v>
      </c>
      <c r="M4" s="8">
        <f t="shared" si="0"/>
        <v>40140</v>
      </c>
      <c r="N4" s="8">
        <f t="shared" si="0"/>
        <v>40160</v>
      </c>
      <c r="O4" s="8">
        <f t="shared" si="0"/>
        <v>40180</v>
      </c>
      <c r="Q4" s="13" t="s">
        <v>116</v>
      </c>
      <c r="R4" s="2" t="s">
        <v>117</v>
      </c>
    </row>
    <row r="5" spans="1:18" x14ac:dyDescent="0.25">
      <c r="A5" t="s">
        <v>206</v>
      </c>
      <c r="B5">
        <v>3</v>
      </c>
      <c r="C5" t="s">
        <v>195</v>
      </c>
      <c r="D5" t="s">
        <v>0</v>
      </c>
      <c r="E5" t="s">
        <v>114</v>
      </c>
      <c r="F5">
        <v>0</v>
      </c>
      <c r="G5">
        <v>63</v>
      </c>
      <c r="H5" s="8">
        <v>40041</v>
      </c>
      <c r="I5" s="8">
        <f t="shared" si="0"/>
        <v>40061</v>
      </c>
      <c r="J5" s="8">
        <f t="shared" si="0"/>
        <v>40081</v>
      </c>
      <c r="K5" s="8">
        <f t="shared" si="0"/>
        <v>40101</v>
      </c>
      <c r="L5" s="8">
        <f t="shared" si="0"/>
        <v>40121</v>
      </c>
      <c r="M5" s="8">
        <f t="shared" si="0"/>
        <v>40141</v>
      </c>
      <c r="N5" s="8">
        <f t="shared" si="0"/>
        <v>40161</v>
      </c>
      <c r="O5" s="8">
        <f t="shared" si="0"/>
        <v>40181</v>
      </c>
      <c r="Q5" s="13" t="s">
        <v>120</v>
      </c>
      <c r="R5" s="2" t="s">
        <v>121</v>
      </c>
    </row>
    <row r="6" spans="1:18" x14ac:dyDescent="0.25">
      <c r="A6" t="s">
        <v>207</v>
      </c>
      <c r="B6">
        <v>4</v>
      </c>
      <c r="C6" t="s">
        <v>196</v>
      </c>
      <c r="D6" t="s">
        <v>0</v>
      </c>
      <c r="E6" t="s">
        <v>114</v>
      </c>
      <c r="F6">
        <v>0</v>
      </c>
      <c r="G6">
        <v>63</v>
      </c>
      <c r="H6" s="8">
        <v>40042</v>
      </c>
      <c r="I6" s="8">
        <f t="shared" si="0"/>
        <v>40062</v>
      </c>
      <c r="J6" s="8">
        <f t="shared" si="0"/>
        <v>40082</v>
      </c>
      <c r="K6" s="8">
        <f t="shared" si="0"/>
        <v>40102</v>
      </c>
      <c r="L6" s="8">
        <f t="shared" si="0"/>
        <v>40122</v>
      </c>
      <c r="M6" s="8">
        <f t="shared" si="0"/>
        <v>40142</v>
      </c>
      <c r="N6" s="8">
        <f t="shared" si="0"/>
        <v>40162</v>
      </c>
      <c r="O6" s="8">
        <f t="shared" si="0"/>
        <v>40182</v>
      </c>
      <c r="Q6" s="13" t="s">
        <v>122</v>
      </c>
      <c r="R6" s="2">
        <v>8</v>
      </c>
    </row>
    <row r="7" spans="1:18" x14ac:dyDescent="0.25">
      <c r="A7" t="s">
        <v>208</v>
      </c>
      <c r="B7">
        <v>5</v>
      </c>
      <c r="C7" t="s">
        <v>197</v>
      </c>
      <c r="D7" t="s">
        <v>0</v>
      </c>
      <c r="E7" t="s">
        <v>114</v>
      </c>
      <c r="F7">
        <v>0</v>
      </c>
      <c r="G7">
        <v>31</v>
      </c>
      <c r="H7" s="8">
        <v>40043</v>
      </c>
      <c r="I7" s="8">
        <f t="shared" si="0"/>
        <v>40063</v>
      </c>
      <c r="J7" s="8">
        <f t="shared" si="0"/>
        <v>40083</v>
      </c>
      <c r="K7" s="8">
        <f t="shared" si="0"/>
        <v>40103</v>
      </c>
      <c r="L7" s="8">
        <f t="shared" si="0"/>
        <v>40123</v>
      </c>
      <c r="M7" s="8">
        <f t="shared" si="0"/>
        <v>40143</v>
      </c>
      <c r="N7" s="8">
        <f t="shared" si="0"/>
        <v>40163</v>
      </c>
      <c r="O7" s="8">
        <f t="shared" si="0"/>
        <v>40183</v>
      </c>
      <c r="Q7" s="13" t="s">
        <v>123</v>
      </c>
      <c r="R7" s="2">
        <v>18</v>
      </c>
    </row>
    <row r="8" spans="1:18" x14ac:dyDescent="0.25">
      <c r="A8" t="s">
        <v>209</v>
      </c>
      <c r="B8">
        <v>6</v>
      </c>
      <c r="C8" t="s">
        <v>198</v>
      </c>
      <c r="D8" t="s">
        <v>0</v>
      </c>
      <c r="E8" t="s">
        <v>114</v>
      </c>
      <c r="F8">
        <v>0</v>
      </c>
      <c r="G8">
        <v>999</v>
      </c>
      <c r="H8" s="8">
        <v>40044</v>
      </c>
      <c r="I8" s="8">
        <f t="shared" si="0"/>
        <v>40064</v>
      </c>
      <c r="J8" s="8">
        <f t="shared" si="0"/>
        <v>40084</v>
      </c>
      <c r="K8" s="8">
        <f t="shared" si="0"/>
        <v>40104</v>
      </c>
      <c r="L8" s="8">
        <f t="shared" si="0"/>
        <v>40124</v>
      </c>
      <c r="M8" s="8">
        <f t="shared" si="0"/>
        <v>40144</v>
      </c>
      <c r="N8" s="8">
        <f t="shared" si="0"/>
        <v>40164</v>
      </c>
      <c r="O8" s="8">
        <f t="shared" si="0"/>
        <v>40184</v>
      </c>
      <c r="Q8" s="13" t="s">
        <v>124</v>
      </c>
      <c r="R8" s="2" t="s">
        <v>192</v>
      </c>
    </row>
    <row r="9" spans="1:18" x14ac:dyDescent="0.25">
      <c r="A9" t="s">
        <v>210</v>
      </c>
      <c r="B9">
        <v>7</v>
      </c>
      <c r="C9" t="s">
        <v>199</v>
      </c>
      <c r="D9" t="s">
        <v>0</v>
      </c>
      <c r="E9" t="s">
        <v>114</v>
      </c>
      <c r="F9">
        <v>0</v>
      </c>
      <c r="G9">
        <v>999</v>
      </c>
      <c r="H9" s="8">
        <v>40045</v>
      </c>
      <c r="I9" s="8">
        <f t="shared" si="0"/>
        <v>40065</v>
      </c>
      <c r="J9" s="8">
        <f t="shared" si="0"/>
        <v>40085</v>
      </c>
      <c r="K9" s="8">
        <f t="shared" si="0"/>
        <v>40105</v>
      </c>
      <c r="L9" s="8">
        <f t="shared" si="0"/>
        <v>40125</v>
      </c>
      <c r="M9" s="8">
        <f t="shared" si="0"/>
        <v>40145</v>
      </c>
      <c r="N9" s="8">
        <f t="shared" si="0"/>
        <v>40165</v>
      </c>
      <c r="O9" s="8">
        <f t="shared" si="0"/>
        <v>40185</v>
      </c>
      <c r="Q9" s="13" t="s">
        <v>125</v>
      </c>
      <c r="R9" s="2">
        <v>104</v>
      </c>
    </row>
    <row r="10" spans="1:18" x14ac:dyDescent="0.25">
      <c r="A10" t="s">
        <v>211</v>
      </c>
      <c r="B10">
        <v>8</v>
      </c>
      <c r="C10" t="s">
        <v>200</v>
      </c>
      <c r="D10" t="s">
        <v>0</v>
      </c>
      <c r="E10" t="s">
        <v>114</v>
      </c>
      <c r="F10">
        <v>0</v>
      </c>
      <c r="G10">
        <v>999</v>
      </c>
      <c r="H10" s="8">
        <v>40046</v>
      </c>
      <c r="I10" s="8">
        <f t="shared" si="0"/>
        <v>40066</v>
      </c>
      <c r="J10" s="8">
        <f t="shared" si="0"/>
        <v>40086</v>
      </c>
      <c r="K10" s="8">
        <f t="shared" si="0"/>
        <v>40106</v>
      </c>
      <c r="L10" s="8">
        <f t="shared" si="0"/>
        <v>40126</v>
      </c>
      <c r="M10" s="8">
        <f t="shared" si="0"/>
        <v>40146</v>
      </c>
      <c r="N10" s="8">
        <f t="shared" si="0"/>
        <v>40166</v>
      </c>
      <c r="O10" s="8">
        <f t="shared" si="0"/>
        <v>40186</v>
      </c>
    </row>
    <row r="11" spans="1:18" x14ac:dyDescent="0.25">
      <c r="A11" t="s">
        <v>212</v>
      </c>
      <c r="B11">
        <v>9</v>
      </c>
      <c r="C11" t="s">
        <v>201</v>
      </c>
      <c r="D11" t="s">
        <v>0</v>
      </c>
      <c r="E11" t="s">
        <v>114</v>
      </c>
      <c r="F11">
        <v>0</v>
      </c>
      <c r="G11">
        <v>500</v>
      </c>
      <c r="H11" s="8">
        <v>40047</v>
      </c>
      <c r="I11" s="8">
        <f t="shared" si="0"/>
        <v>40067</v>
      </c>
      <c r="J11" s="8">
        <f t="shared" si="0"/>
        <v>40087</v>
      </c>
      <c r="K11" s="8">
        <f t="shared" si="0"/>
        <v>40107</v>
      </c>
      <c r="L11" s="8">
        <f t="shared" si="0"/>
        <v>40127</v>
      </c>
      <c r="M11" s="8">
        <f t="shared" si="0"/>
        <v>40147</v>
      </c>
      <c r="N11" s="8">
        <f t="shared" si="0"/>
        <v>40167</v>
      </c>
      <c r="O11" s="8">
        <f t="shared" si="0"/>
        <v>40187</v>
      </c>
    </row>
    <row r="12" spans="1:18" x14ac:dyDescent="0.25">
      <c r="A12" t="s">
        <v>213</v>
      </c>
      <c r="B12">
        <v>10</v>
      </c>
      <c r="C12" t="s">
        <v>202</v>
      </c>
      <c r="D12" t="s">
        <v>0</v>
      </c>
      <c r="E12" t="s">
        <v>114</v>
      </c>
      <c r="F12">
        <v>0</v>
      </c>
      <c r="G12">
        <v>9999</v>
      </c>
      <c r="H12" s="8">
        <v>40048</v>
      </c>
      <c r="I12" s="8">
        <f t="shared" si="0"/>
        <v>40068</v>
      </c>
      <c r="J12" s="8">
        <f t="shared" si="0"/>
        <v>40088</v>
      </c>
      <c r="K12" s="8">
        <f t="shared" si="0"/>
        <v>40108</v>
      </c>
      <c r="L12" s="8">
        <f t="shared" si="0"/>
        <v>40128</v>
      </c>
      <c r="M12" s="8">
        <f t="shared" si="0"/>
        <v>40148</v>
      </c>
      <c r="N12" s="8">
        <f t="shared" si="0"/>
        <v>40168</v>
      </c>
      <c r="O12" s="8">
        <f t="shared" si="0"/>
        <v>40188</v>
      </c>
    </row>
    <row r="13" spans="1:18" x14ac:dyDescent="0.25">
      <c r="A13" t="s">
        <v>214</v>
      </c>
      <c r="B13">
        <v>11</v>
      </c>
      <c r="C13" t="s">
        <v>203</v>
      </c>
      <c r="D13" t="s">
        <v>0</v>
      </c>
      <c r="E13" t="s">
        <v>114</v>
      </c>
      <c r="F13">
        <v>0</v>
      </c>
      <c r="G13">
        <v>48</v>
      </c>
      <c r="H13" s="8">
        <v>40049</v>
      </c>
      <c r="I13" s="8">
        <f t="shared" si="0"/>
        <v>40069</v>
      </c>
      <c r="J13" s="8">
        <f t="shared" si="0"/>
        <v>40089</v>
      </c>
      <c r="K13" s="8">
        <f t="shared" si="0"/>
        <v>40109</v>
      </c>
      <c r="L13" s="8">
        <f t="shared" si="0"/>
        <v>40129</v>
      </c>
      <c r="M13" s="8">
        <f t="shared" si="0"/>
        <v>40149</v>
      </c>
      <c r="N13" s="8">
        <f t="shared" si="0"/>
        <v>40169</v>
      </c>
      <c r="O13" s="8">
        <f t="shared" si="0"/>
        <v>40189</v>
      </c>
    </row>
    <row r="14" spans="1:18" x14ac:dyDescent="0.25">
      <c r="A14" t="s">
        <v>215</v>
      </c>
      <c r="B14">
        <v>12</v>
      </c>
      <c r="C14" t="s">
        <v>204</v>
      </c>
      <c r="D14" t="s">
        <v>0</v>
      </c>
      <c r="E14" t="s">
        <v>114</v>
      </c>
      <c r="F14">
        <v>0</v>
      </c>
      <c r="G14">
        <v>999</v>
      </c>
      <c r="H14" s="8">
        <v>40056</v>
      </c>
      <c r="I14" s="8">
        <f t="shared" ref="I14:I15" si="1">H14+20</f>
        <v>40076</v>
      </c>
      <c r="J14" s="8">
        <f t="shared" ref="J14:J15" si="2">I14+20</f>
        <v>40096</v>
      </c>
      <c r="K14" s="8">
        <f t="shared" ref="K14:K15" si="3">J14+20</f>
        <v>40116</v>
      </c>
      <c r="L14" s="8">
        <f t="shared" ref="L14:L15" si="4">K14+20</f>
        <v>40136</v>
      </c>
      <c r="M14" s="8">
        <f t="shared" ref="M14:M15" si="5">L14+20</f>
        <v>40156</v>
      </c>
      <c r="N14" s="8">
        <f t="shared" ref="N14:N15" si="6">M14+20</f>
        <v>40176</v>
      </c>
      <c r="O14" s="8">
        <f t="shared" ref="O14:O15" si="7">N14+20</f>
        <v>40196</v>
      </c>
    </row>
    <row r="15" spans="1:18" x14ac:dyDescent="0.25">
      <c r="A15" t="s">
        <v>216</v>
      </c>
      <c r="B15">
        <v>13</v>
      </c>
      <c r="C15" t="s">
        <v>205</v>
      </c>
      <c r="D15" t="s">
        <v>0</v>
      </c>
      <c r="E15" t="s">
        <v>114</v>
      </c>
      <c r="F15">
        <v>0</v>
      </c>
      <c r="G15">
        <v>15</v>
      </c>
      <c r="H15" s="8">
        <v>40057</v>
      </c>
      <c r="I15" s="8">
        <f t="shared" si="1"/>
        <v>40077</v>
      </c>
      <c r="J15" s="8">
        <f t="shared" si="2"/>
        <v>40097</v>
      </c>
      <c r="K15" s="8">
        <f t="shared" si="3"/>
        <v>40117</v>
      </c>
      <c r="L15" s="8">
        <f t="shared" si="4"/>
        <v>40137</v>
      </c>
      <c r="M15" s="8">
        <f t="shared" si="5"/>
        <v>40157</v>
      </c>
      <c r="N15" s="8">
        <f t="shared" si="6"/>
        <v>40177</v>
      </c>
      <c r="O15" s="8">
        <f t="shared" si="7"/>
        <v>40197</v>
      </c>
    </row>
    <row r="16" spans="1:18" x14ac:dyDescent="0.25">
      <c r="A16" t="s">
        <v>225</v>
      </c>
      <c r="B16">
        <v>14</v>
      </c>
      <c r="C16" t="s">
        <v>226</v>
      </c>
      <c r="D16" t="s">
        <v>0</v>
      </c>
      <c r="E16" t="s">
        <v>126</v>
      </c>
      <c r="F16">
        <v>0</v>
      </c>
      <c r="G16">
        <v>1024</v>
      </c>
      <c r="H16" s="8">
        <v>30047</v>
      </c>
      <c r="I16" s="8">
        <v>30048</v>
      </c>
      <c r="J16" s="8">
        <v>30049</v>
      </c>
      <c r="K16" s="8">
        <v>30050</v>
      </c>
      <c r="L16" s="8">
        <v>30051</v>
      </c>
      <c r="M16" s="8">
        <v>30052</v>
      </c>
      <c r="N16" s="8">
        <v>30053</v>
      </c>
      <c r="O16" s="8">
        <v>30054</v>
      </c>
    </row>
    <row r="17" spans="1:15" x14ac:dyDescent="0.25">
      <c r="A17" t="s">
        <v>231</v>
      </c>
      <c r="B17">
        <v>15</v>
      </c>
      <c r="C17" t="s">
        <v>227</v>
      </c>
      <c r="D17" t="s">
        <v>102</v>
      </c>
      <c r="E17" t="s">
        <v>126</v>
      </c>
      <c r="F17">
        <v>0</v>
      </c>
      <c r="G17">
        <v>1</v>
      </c>
      <c r="H17" s="8">
        <v>10017</v>
      </c>
      <c r="I17" s="8">
        <v>10018</v>
      </c>
      <c r="J17" s="8">
        <v>10019</v>
      </c>
      <c r="K17" s="8">
        <v>10020</v>
      </c>
      <c r="L17" s="8">
        <v>10021</v>
      </c>
      <c r="M17" s="8">
        <v>10022</v>
      </c>
      <c r="N17" s="8">
        <v>10023</v>
      </c>
      <c r="O17" s="8">
        <v>10024</v>
      </c>
    </row>
    <row r="18" spans="1:15" x14ac:dyDescent="0.25">
      <c r="A18" t="s">
        <v>232</v>
      </c>
      <c r="B18">
        <v>16</v>
      </c>
      <c r="C18" t="s">
        <v>228</v>
      </c>
      <c r="D18" t="s">
        <v>102</v>
      </c>
      <c r="E18" t="s">
        <v>126</v>
      </c>
      <c r="F18">
        <v>0</v>
      </c>
      <c r="G18">
        <v>1</v>
      </c>
      <c r="H18" s="8">
        <v>10049</v>
      </c>
      <c r="I18" s="8">
        <v>10050</v>
      </c>
      <c r="J18" s="8">
        <v>10051</v>
      </c>
      <c r="K18" s="8">
        <v>10052</v>
      </c>
      <c r="L18" s="8">
        <v>10053</v>
      </c>
      <c r="M18" s="8">
        <v>10054</v>
      </c>
      <c r="N18" s="8">
        <v>10055</v>
      </c>
      <c r="O18" s="8">
        <v>10056</v>
      </c>
    </row>
    <row r="19" spans="1:15" x14ac:dyDescent="0.25">
      <c r="A19" t="s">
        <v>233</v>
      </c>
      <c r="B19">
        <v>17</v>
      </c>
      <c r="C19" t="s">
        <v>229</v>
      </c>
      <c r="D19" t="s">
        <v>102</v>
      </c>
      <c r="E19" t="s">
        <v>126</v>
      </c>
      <c r="F19">
        <v>0</v>
      </c>
      <c r="G19">
        <v>1</v>
      </c>
      <c r="H19" s="8">
        <v>10033</v>
      </c>
      <c r="I19" s="8">
        <v>10034</v>
      </c>
      <c r="J19" s="8">
        <v>10035</v>
      </c>
      <c r="K19" s="8">
        <v>10036</v>
      </c>
      <c r="L19" s="8">
        <v>10037</v>
      </c>
      <c r="M19" s="8">
        <v>10038</v>
      </c>
      <c r="N19" s="8">
        <v>10039</v>
      </c>
      <c r="O19" s="8">
        <v>10040</v>
      </c>
    </row>
    <row r="20" spans="1:15" x14ac:dyDescent="0.25">
      <c r="A20" t="s">
        <v>234</v>
      </c>
      <c r="B20">
        <v>18</v>
      </c>
      <c r="C20" t="s">
        <v>230</v>
      </c>
      <c r="D20" t="s">
        <v>102</v>
      </c>
      <c r="E20" t="s">
        <v>126</v>
      </c>
      <c r="F20">
        <v>0</v>
      </c>
      <c r="G20">
        <v>1</v>
      </c>
      <c r="H20" s="8">
        <v>10065</v>
      </c>
      <c r="I20" s="8">
        <v>10066</v>
      </c>
      <c r="J20" s="8">
        <v>10067</v>
      </c>
      <c r="K20" s="8">
        <v>10068</v>
      </c>
      <c r="L20" s="8">
        <v>10069</v>
      </c>
      <c r="M20" s="8">
        <v>10070</v>
      </c>
      <c r="N20" s="8">
        <v>10071</v>
      </c>
      <c r="O20" s="8">
        <v>10072</v>
      </c>
    </row>
  </sheetData>
  <mergeCells count="8">
    <mergeCell ref="G1:G2"/>
    <mergeCell ref="H1:O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K9" sqref="K9"/>
    </sheetView>
  </sheetViews>
  <sheetFormatPr defaultRowHeight="15" x14ac:dyDescent="0.25"/>
  <cols>
    <col min="1" max="1" width="29.42578125" bestFit="1" customWidth="1"/>
    <col min="2" max="2" width="4" bestFit="1" customWidth="1"/>
    <col min="3" max="3" width="13.42578125" bestFit="1" customWidth="1"/>
    <col min="4" max="4" width="24.140625" bestFit="1" customWidth="1"/>
    <col min="5" max="5" width="9.5703125" bestFit="1" customWidth="1"/>
    <col min="6" max="6" width="9.85546875" bestFit="1" customWidth="1"/>
    <col min="7" max="7" width="10.28515625" bestFit="1" customWidth="1"/>
    <col min="8" max="8" width="18.7109375" style="8" bestFit="1" customWidth="1"/>
    <col min="10" max="10" width="31.5703125" bestFit="1" customWidth="1"/>
    <col min="11" max="11" width="10.28515625" style="2" bestFit="1" customWidth="1"/>
  </cols>
  <sheetData>
    <row r="1" spans="1:11" s="12" customFormat="1" x14ac:dyDescent="0.25">
      <c r="A1" s="28" t="s">
        <v>103</v>
      </c>
      <c r="B1" s="28" t="s">
        <v>104</v>
      </c>
      <c r="C1" s="28" t="s">
        <v>105</v>
      </c>
      <c r="D1" s="28" t="s">
        <v>106</v>
      </c>
      <c r="E1" s="28" t="s">
        <v>107</v>
      </c>
      <c r="F1" s="28" t="s">
        <v>108</v>
      </c>
      <c r="G1" s="28" t="s">
        <v>109</v>
      </c>
      <c r="H1" s="6" t="s">
        <v>110</v>
      </c>
      <c r="J1" s="13" t="s">
        <v>111</v>
      </c>
      <c r="K1" s="14" t="s">
        <v>269</v>
      </c>
    </row>
    <row r="2" spans="1:11" s="12" customFormat="1" x14ac:dyDescent="0.25">
      <c r="A2" s="28"/>
      <c r="B2" s="28"/>
      <c r="C2" s="28"/>
      <c r="D2" s="28"/>
      <c r="E2" s="28"/>
      <c r="F2" s="28"/>
      <c r="G2" s="28"/>
      <c r="H2" s="6">
        <v>1</v>
      </c>
      <c r="J2" s="13" t="s">
        <v>112</v>
      </c>
      <c r="K2" s="14">
        <v>9</v>
      </c>
    </row>
    <row r="3" spans="1:11" x14ac:dyDescent="0.25">
      <c r="A3" t="s">
        <v>34</v>
      </c>
      <c r="B3">
        <v>1</v>
      </c>
      <c r="C3" t="s">
        <v>236</v>
      </c>
      <c r="D3" t="s">
        <v>0</v>
      </c>
      <c r="E3" t="s">
        <v>114</v>
      </c>
      <c r="F3">
        <v>1</v>
      </c>
      <c r="G3">
        <v>255</v>
      </c>
      <c r="H3" s="8">
        <v>40013</v>
      </c>
      <c r="J3" s="13" t="s">
        <v>115</v>
      </c>
      <c r="K3" s="2">
        <v>2</v>
      </c>
    </row>
    <row r="4" spans="1:11" x14ac:dyDescent="0.25">
      <c r="A4" t="s">
        <v>35</v>
      </c>
      <c r="B4">
        <v>2</v>
      </c>
      <c r="C4" t="s">
        <v>237</v>
      </c>
      <c r="D4" t="s">
        <v>0</v>
      </c>
      <c r="E4" t="s">
        <v>114</v>
      </c>
      <c r="F4">
        <v>1</v>
      </c>
      <c r="G4">
        <v>8</v>
      </c>
      <c r="H4" s="8">
        <v>40014</v>
      </c>
      <c r="J4" s="13" t="s">
        <v>116</v>
      </c>
      <c r="K4" s="2" t="s">
        <v>117</v>
      </c>
    </row>
    <row r="5" spans="1:11" x14ac:dyDescent="0.25">
      <c r="A5" t="s">
        <v>244</v>
      </c>
      <c r="B5">
        <v>3</v>
      </c>
      <c r="C5" t="s">
        <v>238</v>
      </c>
      <c r="D5" t="s">
        <v>0</v>
      </c>
      <c r="E5" t="s">
        <v>114</v>
      </c>
      <c r="F5">
        <v>1</v>
      </c>
      <c r="G5">
        <v>1500</v>
      </c>
      <c r="H5" s="8">
        <v>40015</v>
      </c>
      <c r="J5" s="13" t="s">
        <v>120</v>
      </c>
      <c r="K5" s="2" t="s">
        <v>117</v>
      </c>
    </row>
    <row r="6" spans="1:11" x14ac:dyDescent="0.25">
      <c r="A6" t="s">
        <v>101</v>
      </c>
      <c r="B6">
        <v>4</v>
      </c>
      <c r="C6" t="s">
        <v>127</v>
      </c>
      <c r="D6" t="s">
        <v>0</v>
      </c>
      <c r="E6" t="s">
        <v>114</v>
      </c>
      <c r="F6">
        <v>0</v>
      </c>
      <c r="G6">
        <v>15</v>
      </c>
      <c r="H6" s="8">
        <v>40016</v>
      </c>
      <c r="J6" s="13" t="s">
        <v>122</v>
      </c>
      <c r="K6" s="2">
        <v>1</v>
      </c>
    </row>
    <row r="7" spans="1:11" x14ac:dyDescent="0.25">
      <c r="A7" t="s">
        <v>245</v>
      </c>
      <c r="B7">
        <v>5</v>
      </c>
      <c r="C7" t="s">
        <v>239</v>
      </c>
      <c r="D7" t="s">
        <v>0</v>
      </c>
      <c r="E7" t="s">
        <v>114</v>
      </c>
      <c r="F7">
        <v>0</v>
      </c>
      <c r="G7">
        <v>65535</v>
      </c>
      <c r="H7" s="8">
        <v>40017</v>
      </c>
      <c r="J7" s="13" t="s">
        <v>123</v>
      </c>
      <c r="K7" s="2">
        <v>32</v>
      </c>
    </row>
    <row r="8" spans="1:11" x14ac:dyDescent="0.25">
      <c r="A8" t="s">
        <v>246</v>
      </c>
      <c r="B8">
        <v>6</v>
      </c>
      <c r="C8" t="s">
        <v>240</v>
      </c>
      <c r="D8" t="s">
        <v>0</v>
      </c>
      <c r="E8" t="s">
        <v>114</v>
      </c>
      <c r="F8">
        <v>0</v>
      </c>
      <c r="G8">
        <v>500</v>
      </c>
      <c r="H8" s="8">
        <v>40018</v>
      </c>
      <c r="J8" s="13" t="s">
        <v>124</v>
      </c>
      <c r="K8" s="2" t="s">
        <v>274</v>
      </c>
    </row>
    <row r="9" spans="1:11" x14ac:dyDescent="0.25">
      <c r="A9" t="s">
        <v>247</v>
      </c>
      <c r="B9">
        <v>7</v>
      </c>
      <c r="C9" t="s">
        <v>241</v>
      </c>
      <c r="D9" t="s">
        <v>0</v>
      </c>
      <c r="E9" t="s">
        <v>114</v>
      </c>
      <c r="F9">
        <v>0</v>
      </c>
      <c r="G9">
        <v>500</v>
      </c>
      <c r="H9" s="8">
        <v>40019</v>
      </c>
      <c r="J9" s="13" t="s">
        <v>125</v>
      </c>
      <c r="K9" s="2">
        <v>105</v>
      </c>
    </row>
    <row r="10" spans="1:11" x14ac:dyDescent="0.25">
      <c r="A10" t="s">
        <v>248</v>
      </c>
      <c r="B10">
        <v>8</v>
      </c>
      <c r="C10" t="s">
        <v>242</v>
      </c>
      <c r="D10" t="s">
        <v>0</v>
      </c>
      <c r="E10" t="s">
        <v>114</v>
      </c>
      <c r="F10">
        <v>0</v>
      </c>
      <c r="G10">
        <v>1024</v>
      </c>
      <c r="H10" s="8">
        <v>40020</v>
      </c>
    </row>
    <row r="11" spans="1:11" x14ac:dyDescent="0.25">
      <c r="A11" t="s">
        <v>249</v>
      </c>
      <c r="B11">
        <v>9</v>
      </c>
      <c r="C11" t="s">
        <v>243</v>
      </c>
      <c r="D11" t="s">
        <v>0</v>
      </c>
      <c r="E11" t="s">
        <v>114</v>
      </c>
      <c r="F11">
        <v>0</v>
      </c>
      <c r="G11">
        <v>255</v>
      </c>
      <c r="H11" s="8">
        <v>40021</v>
      </c>
    </row>
    <row r="12" spans="1:11" x14ac:dyDescent="0.25">
      <c r="A12" t="s">
        <v>250</v>
      </c>
      <c r="B12">
        <v>10</v>
      </c>
      <c r="C12" t="s">
        <v>255</v>
      </c>
      <c r="D12" t="s">
        <v>102</v>
      </c>
      <c r="E12" t="s">
        <v>114</v>
      </c>
      <c r="F12">
        <v>0</v>
      </c>
      <c r="G12">
        <v>1</v>
      </c>
      <c r="H12" s="11" t="s">
        <v>128</v>
      </c>
    </row>
    <row r="13" spans="1:11" x14ac:dyDescent="0.25">
      <c r="A13" t="s">
        <v>79</v>
      </c>
      <c r="B13">
        <v>11</v>
      </c>
      <c r="C13" t="s">
        <v>129</v>
      </c>
      <c r="D13" t="s">
        <v>102</v>
      </c>
      <c r="E13" t="s">
        <v>114</v>
      </c>
      <c r="F13">
        <v>0</v>
      </c>
      <c r="G13">
        <v>1</v>
      </c>
      <c r="H13" s="11" t="s">
        <v>130</v>
      </c>
    </row>
    <row r="14" spans="1:11" x14ac:dyDescent="0.25">
      <c r="A14" t="s">
        <v>81</v>
      </c>
      <c r="B14">
        <v>12</v>
      </c>
      <c r="C14" t="s">
        <v>131</v>
      </c>
      <c r="D14" t="s">
        <v>102</v>
      </c>
      <c r="E14" t="s">
        <v>114</v>
      </c>
      <c r="F14">
        <v>0</v>
      </c>
      <c r="G14">
        <v>1</v>
      </c>
      <c r="H14" s="11" t="s">
        <v>258</v>
      </c>
    </row>
    <row r="15" spans="1:11" x14ac:dyDescent="0.25">
      <c r="A15" t="s">
        <v>251</v>
      </c>
      <c r="B15">
        <v>13</v>
      </c>
      <c r="C15" t="s">
        <v>133</v>
      </c>
      <c r="D15" t="s">
        <v>102</v>
      </c>
      <c r="E15" t="s">
        <v>114</v>
      </c>
      <c r="F15">
        <v>0</v>
      </c>
      <c r="G15">
        <v>1</v>
      </c>
      <c r="H15" s="11" t="s">
        <v>132</v>
      </c>
    </row>
    <row r="16" spans="1:11" x14ac:dyDescent="0.25">
      <c r="A16" t="s">
        <v>252</v>
      </c>
      <c r="B16">
        <v>14</v>
      </c>
      <c r="C16" t="s">
        <v>256</v>
      </c>
      <c r="D16" t="s">
        <v>102</v>
      </c>
      <c r="E16" t="s">
        <v>114</v>
      </c>
      <c r="F16">
        <v>0</v>
      </c>
      <c r="G16">
        <v>1</v>
      </c>
      <c r="H16" s="11" t="s">
        <v>134</v>
      </c>
    </row>
    <row r="17" spans="1:8" x14ac:dyDescent="0.25">
      <c r="A17" t="s">
        <v>83</v>
      </c>
      <c r="B17">
        <v>15</v>
      </c>
      <c r="C17" t="s">
        <v>136</v>
      </c>
      <c r="D17" t="s">
        <v>102</v>
      </c>
      <c r="E17" t="s">
        <v>114</v>
      </c>
      <c r="F17">
        <v>0</v>
      </c>
      <c r="G17">
        <v>1</v>
      </c>
      <c r="H17" s="11" t="s">
        <v>135</v>
      </c>
    </row>
    <row r="18" spans="1:8" x14ac:dyDescent="0.25">
      <c r="A18" t="s">
        <v>85</v>
      </c>
      <c r="B18">
        <v>16</v>
      </c>
      <c r="C18" t="s">
        <v>138</v>
      </c>
      <c r="D18" t="s">
        <v>102</v>
      </c>
      <c r="E18" t="s">
        <v>114</v>
      </c>
      <c r="F18">
        <v>0</v>
      </c>
      <c r="G18">
        <v>1</v>
      </c>
      <c r="H18" s="11" t="s">
        <v>137</v>
      </c>
    </row>
    <row r="19" spans="1:8" x14ac:dyDescent="0.25">
      <c r="A19" t="s">
        <v>253</v>
      </c>
      <c r="B19">
        <v>17</v>
      </c>
      <c r="C19" t="s">
        <v>139</v>
      </c>
      <c r="D19" t="s">
        <v>102</v>
      </c>
      <c r="E19" t="s">
        <v>114</v>
      </c>
      <c r="F19">
        <v>0</v>
      </c>
      <c r="G19">
        <v>1</v>
      </c>
      <c r="H19" s="11" t="s">
        <v>259</v>
      </c>
    </row>
    <row r="20" spans="1:8" x14ac:dyDescent="0.25">
      <c r="A20" t="s">
        <v>15</v>
      </c>
      <c r="B20">
        <v>18</v>
      </c>
      <c r="C20" t="s">
        <v>146</v>
      </c>
      <c r="D20" t="s">
        <v>102</v>
      </c>
      <c r="E20" t="s">
        <v>114</v>
      </c>
      <c r="F20">
        <v>0</v>
      </c>
      <c r="G20">
        <v>1</v>
      </c>
      <c r="H20" s="11" t="s">
        <v>260</v>
      </c>
    </row>
    <row r="21" spans="1:8" x14ac:dyDescent="0.25">
      <c r="A21" t="s">
        <v>254</v>
      </c>
      <c r="B21">
        <v>19</v>
      </c>
      <c r="C21" t="s">
        <v>257</v>
      </c>
      <c r="D21" t="s">
        <v>102</v>
      </c>
      <c r="E21" t="s">
        <v>114</v>
      </c>
      <c r="F21">
        <v>0</v>
      </c>
      <c r="G21">
        <v>1</v>
      </c>
      <c r="H21" s="11" t="s">
        <v>140</v>
      </c>
    </row>
    <row r="22" spans="1:8" x14ac:dyDescent="0.25">
      <c r="A22" t="s">
        <v>95</v>
      </c>
      <c r="B22">
        <v>20</v>
      </c>
      <c r="C22" t="s">
        <v>141</v>
      </c>
      <c r="D22" t="s">
        <v>102</v>
      </c>
      <c r="E22" t="s">
        <v>126</v>
      </c>
      <c r="F22">
        <v>0</v>
      </c>
      <c r="G22">
        <v>1</v>
      </c>
      <c r="H22" s="8">
        <v>10003</v>
      </c>
    </row>
    <row r="23" spans="1:8" x14ac:dyDescent="0.25">
      <c r="A23" t="s">
        <v>96</v>
      </c>
      <c r="B23">
        <v>21</v>
      </c>
      <c r="C23" t="s">
        <v>142</v>
      </c>
      <c r="D23" t="s">
        <v>102</v>
      </c>
      <c r="E23" t="s">
        <v>126</v>
      </c>
      <c r="F23">
        <v>0</v>
      </c>
      <c r="G23">
        <v>1</v>
      </c>
      <c r="H23" s="8">
        <v>10004</v>
      </c>
    </row>
    <row r="24" spans="1:8" x14ac:dyDescent="0.25">
      <c r="A24" t="s">
        <v>261</v>
      </c>
      <c r="B24">
        <v>22</v>
      </c>
      <c r="C24" t="s">
        <v>143</v>
      </c>
      <c r="D24" t="s">
        <v>102</v>
      </c>
      <c r="E24" t="s">
        <v>126</v>
      </c>
      <c r="F24">
        <v>0</v>
      </c>
      <c r="G24">
        <v>1</v>
      </c>
      <c r="H24" s="8">
        <v>10009</v>
      </c>
    </row>
    <row r="25" spans="1:8" x14ac:dyDescent="0.25">
      <c r="A25" t="s">
        <v>144</v>
      </c>
      <c r="B25">
        <v>23</v>
      </c>
      <c r="C25" t="s">
        <v>145</v>
      </c>
      <c r="D25" t="s">
        <v>102</v>
      </c>
      <c r="E25" t="s">
        <v>126</v>
      </c>
      <c r="F25">
        <v>0</v>
      </c>
      <c r="G25">
        <v>1</v>
      </c>
      <c r="H25" s="8">
        <v>10010</v>
      </c>
    </row>
    <row r="26" spans="1:8" x14ac:dyDescent="0.25">
      <c r="A26" t="s">
        <v>262</v>
      </c>
      <c r="B26">
        <v>24</v>
      </c>
      <c r="C26" t="s">
        <v>146</v>
      </c>
      <c r="D26" t="s">
        <v>102</v>
      </c>
      <c r="E26" t="s">
        <v>126</v>
      </c>
      <c r="F26">
        <v>0</v>
      </c>
      <c r="G26">
        <v>1</v>
      </c>
      <c r="H26" s="8">
        <v>10011</v>
      </c>
    </row>
    <row r="27" spans="1:8" x14ac:dyDescent="0.25">
      <c r="A27" t="s">
        <v>263</v>
      </c>
      <c r="B27">
        <v>25</v>
      </c>
      <c r="C27" t="s">
        <v>147</v>
      </c>
      <c r="D27" t="s">
        <v>102</v>
      </c>
      <c r="E27" t="s">
        <v>126</v>
      </c>
      <c r="F27">
        <v>0</v>
      </c>
      <c r="G27">
        <v>1</v>
      </c>
      <c r="H27" s="8">
        <v>10013</v>
      </c>
    </row>
    <row r="28" spans="1:8" x14ac:dyDescent="0.25">
      <c r="A28" t="s">
        <v>17</v>
      </c>
      <c r="B28">
        <v>26</v>
      </c>
      <c r="C28" t="s">
        <v>148</v>
      </c>
      <c r="D28" t="s">
        <v>102</v>
      </c>
      <c r="E28" t="s">
        <v>126</v>
      </c>
      <c r="F28">
        <v>0</v>
      </c>
      <c r="G28">
        <v>1</v>
      </c>
      <c r="H28" s="8">
        <v>10014</v>
      </c>
    </row>
    <row r="29" spans="1:8" x14ac:dyDescent="0.25">
      <c r="A29" t="s">
        <v>264</v>
      </c>
      <c r="B29">
        <v>27</v>
      </c>
      <c r="C29" t="s">
        <v>265</v>
      </c>
      <c r="D29" t="s">
        <v>0</v>
      </c>
      <c r="E29" t="s">
        <v>126</v>
      </c>
      <c r="F29">
        <v>4</v>
      </c>
      <c r="G29">
        <v>8</v>
      </c>
      <c r="H29" s="11">
        <v>30009</v>
      </c>
    </row>
    <row r="30" spans="1:8" x14ac:dyDescent="0.25">
      <c r="A30" t="s">
        <v>9</v>
      </c>
      <c r="B30">
        <v>28</v>
      </c>
      <c r="C30" t="s">
        <v>149</v>
      </c>
      <c r="D30" t="s">
        <v>0</v>
      </c>
      <c r="E30" t="s">
        <v>126</v>
      </c>
      <c r="F30">
        <v>0</v>
      </c>
      <c r="G30">
        <v>3600</v>
      </c>
      <c r="H30" s="11">
        <v>30010</v>
      </c>
    </row>
    <row r="31" spans="1:8" x14ac:dyDescent="0.25">
      <c r="A31" t="s">
        <v>150</v>
      </c>
      <c r="B31">
        <v>29</v>
      </c>
      <c r="C31" t="s">
        <v>151</v>
      </c>
      <c r="D31" t="s">
        <v>0</v>
      </c>
      <c r="E31" t="s">
        <v>126</v>
      </c>
      <c r="F31">
        <v>0</v>
      </c>
      <c r="G31">
        <v>100</v>
      </c>
      <c r="H31" s="11">
        <v>30014</v>
      </c>
    </row>
    <row r="32" spans="1:8" x14ac:dyDescent="0.25">
      <c r="A32" t="s">
        <v>152</v>
      </c>
      <c r="B32">
        <v>30</v>
      </c>
      <c r="C32" t="s">
        <v>153</v>
      </c>
      <c r="D32" t="s">
        <v>266</v>
      </c>
      <c r="E32" t="s">
        <v>126</v>
      </c>
      <c r="H32" s="8" t="s">
        <v>154</v>
      </c>
    </row>
    <row r="33" spans="1:8" x14ac:dyDescent="0.25">
      <c r="A33" t="s">
        <v>155</v>
      </c>
      <c r="B33">
        <v>31</v>
      </c>
      <c r="C33" t="s">
        <v>156</v>
      </c>
      <c r="D33" t="s">
        <v>267</v>
      </c>
      <c r="E33" t="s">
        <v>126</v>
      </c>
      <c r="H33" s="8" t="s">
        <v>157</v>
      </c>
    </row>
    <row r="34" spans="1:8" x14ac:dyDescent="0.25">
      <c r="A34" t="s">
        <v>158</v>
      </c>
      <c r="B34">
        <v>32</v>
      </c>
      <c r="C34" t="s">
        <v>159</v>
      </c>
      <c r="D34" t="s">
        <v>268</v>
      </c>
      <c r="E34" t="s">
        <v>126</v>
      </c>
      <c r="H34" s="8" t="s">
        <v>160</v>
      </c>
    </row>
  </sheetData>
  <mergeCells count="7">
    <mergeCell ref="G1:G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"/>
  <sheetViews>
    <sheetView workbookViewId="0">
      <selection activeCell="AP10" sqref="AP10"/>
    </sheetView>
  </sheetViews>
  <sheetFormatPr defaultRowHeight="15" x14ac:dyDescent="0.25"/>
  <cols>
    <col min="1" max="1" width="14.5703125" bestFit="1" customWidth="1"/>
    <col min="2" max="2" width="2.85546875" bestFit="1" customWidth="1"/>
    <col min="3" max="3" width="5.42578125" bestFit="1" customWidth="1"/>
    <col min="4" max="4" width="9.7109375" bestFit="1" customWidth="1"/>
    <col min="5" max="5" width="6.85546875" bestFit="1" customWidth="1"/>
    <col min="6" max="6" width="9.85546875" bestFit="1" customWidth="1"/>
    <col min="7" max="7" width="10.28515625" bestFit="1" customWidth="1"/>
    <col min="8" max="39" width="6" style="8" bestFit="1" customWidth="1"/>
    <col min="41" max="41" width="31.5703125" bestFit="1" customWidth="1"/>
    <col min="42" max="42" width="10.28515625" style="2" bestFit="1" customWidth="1"/>
  </cols>
  <sheetData>
    <row r="1" spans="1:42" s="12" customFormat="1" x14ac:dyDescent="0.25">
      <c r="A1" s="28" t="s">
        <v>103</v>
      </c>
      <c r="B1" s="28" t="s">
        <v>104</v>
      </c>
      <c r="C1" s="28" t="s">
        <v>105</v>
      </c>
      <c r="D1" s="28" t="s">
        <v>106</v>
      </c>
      <c r="E1" s="28" t="s">
        <v>107</v>
      </c>
      <c r="F1" s="28" t="s">
        <v>108</v>
      </c>
      <c r="G1" s="28" t="s">
        <v>109</v>
      </c>
      <c r="H1" s="29" t="s">
        <v>110</v>
      </c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O1" s="13" t="s">
        <v>111</v>
      </c>
      <c r="AP1" s="16" t="s">
        <v>272</v>
      </c>
    </row>
    <row r="2" spans="1:42" s="12" customFormat="1" x14ac:dyDescent="0.25">
      <c r="A2" s="28"/>
      <c r="B2" s="28"/>
      <c r="C2" s="28"/>
      <c r="D2" s="28"/>
      <c r="E2" s="28"/>
      <c r="F2" s="28"/>
      <c r="G2" s="28"/>
      <c r="H2" s="6">
        <v>1</v>
      </c>
      <c r="I2" s="6">
        <v>2</v>
      </c>
      <c r="J2" s="6">
        <v>3</v>
      </c>
      <c r="K2" s="6">
        <v>4</v>
      </c>
      <c r="L2" s="6">
        <v>5</v>
      </c>
      <c r="M2" s="6">
        <v>6</v>
      </c>
      <c r="N2" s="6">
        <v>7</v>
      </c>
      <c r="O2" s="6">
        <v>8</v>
      </c>
      <c r="P2" s="6">
        <v>9</v>
      </c>
      <c r="Q2" s="6">
        <v>10</v>
      </c>
      <c r="R2" s="6">
        <v>11</v>
      </c>
      <c r="S2" s="6">
        <v>12</v>
      </c>
      <c r="T2" s="6">
        <v>13</v>
      </c>
      <c r="U2" s="6">
        <v>14</v>
      </c>
      <c r="V2" s="6">
        <v>15</v>
      </c>
      <c r="W2" s="6">
        <v>16</v>
      </c>
      <c r="X2" s="6">
        <v>17</v>
      </c>
      <c r="Y2" s="6">
        <v>18</v>
      </c>
      <c r="Z2" s="6">
        <v>19</v>
      </c>
      <c r="AA2" s="6">
        <v>20</v>
      </c>
      <c r="AB2" s="6">
        <v>21</v>
      </c>
      <c r="AC2" s="6">
        <v>22</v>
      </c>
      <c r="AD2" s="6">
        <v>23</v>
      </c>
      <c r="AE2" s="6">
        <v>24</v>
      </c>
      <c r="AF2" s="6">
        <v>25</v>
      </c>
      <c r="AG2" s="6">
        <v>26</v>
      </c>
      <c r="AH2" s="6">
        <v>27</v>
      </c>
      <c r="AI2" s="6">
        <v>28</v>
      </c>
      <c r="AJ2" s="6">
        <v>29</v>
      </c>
      <c r="AK2" s="6">
        <v>30</v>
      </c>
      <c r="AL2" s="6">
        <v>31</v>
      </c>
      <c r="AM2" s="6">
        <v>32</v>
      </c>
      <c r="AO2" s="13" t="s">
        <v>112</v>
      </c>
      <c r="AP2" s="15" t="s">
        <v>271</v>
      </c>
    </row>
    <row r="3" spans="1:42" x14ac:dyDescent="0.25">
      <c r="A3" t="s">
        <v>270</v>
      </c>
      <c r="B3">
        <v>1</v>
      </c>
      <c r="C3" t="s">
        <v>194</v>
      </c>
      <c r="D3" t="s">
        <v>0</v>
      </c>
      <c r="E3" t="s">
        <v>126</v>
      </c>
      <c r="H3" s="8">
        <v>30030</v>
      </c>
      <c r="I3" s="8">
        <v>30031</v>
      </c>
      <c r="J3" s="8">
        <v>30032</v>
      </c>
      <c r="K3" s="8">
        <v>30033</v>
      </c>
      <c r="L3" s="8">
        <v>30034</v>
      </c>
      <c r="M3" s="8">
        <v>30035</v>
      </c>
      <c r="N3" s="8">
        <v>30036</v>
      </c>
      <c r="O3" s="8">
        <v>30037</v>
      </c>
      <c r="P3" s="8">
        <v>30038</v>
      </c>
      <c r="Q3" s="8">
        <v>30039</v>
      </c>
      <c r="R3" s="8">
        <v>30040</v>
      </c>
      <c r="S3" s="8">
        <v>30041</v>
      </c>
      <c r="T3" s="8">
        <v>30042</v>
      </c>
      <c r="U3" s="8">
        <v>30043</v>
      </c>
      <c r="V3" s="8">
        <v>30044</v>
      </c>
      <c r="W3" s="8">
        <v>30045</v>
      </c>
      <c r="X3" s="8">
        <v>30046</v>
      </c>
      <c r="Y3" s="8">
        <v>30047</v>
      </c>
      <c r="Z3" s="8">
        <v>30048</v>
      </c>
      <c r="AA3" s="8">
        <v>30049</v>
      </c>
      <c r="AB3" s="8">
        <v>30050</v>
      </c>
      <c r="AC3" s="8">
        <v>30051</v>
      </c>
      <c r="AD3" s="8">
        <v>30052</v>
      </c>
      <c r="AE3" s="8">
        <v>30053</v>
      </c>
      <c r="AF3" s="8">
        <v>30054</v>
      </c>
      <c r="AG3" s="8">
        <v>30055</v>
      </c>
      <c r="AH3" s="8">
        <v>30056</v>
      </c>
      <c r="AI3" s="8">
        <v>30057</v>
      </c>
      <c r="AJ3" s="8">
        <v>30058</v>
      </c>
      <c r="AK3" s="8">
        <v>30059</v>
      </c>
      <c r="AL3" s="8">
        <v>30060</v>
      </c>
      <c r="AM3" s="8">
        <v>30061</v>
      </c>
      <c r="AO3" s="13" t="s">
        <v>115</v>
      </c>
      <c r="AP3" s="2">
        <v>3</v>
      </c>
    </row>
    <row r="4" spans="1:42" x14ac:dyDescent="0.25">
      <c r="AO4" s="13" t="s">
        <v>116</v>
      </c>
      <c r="AP4" s="2" t="s">
        <v>117</v>
      </c>
    </row>
    <row r="5" spans="1:42" x14ac:dyDescent="0.25">
      <c r="AO5" s="13" t="s">
        <v>120</v>
      </c>
      <c r="AP5" s="2" t="s">
        <v>121</v>
      </c>
    </row>
    <row r="6" spans="1:42" x14ac:dyDescent="0.25">
      <c r="AO6" s="13" t="s">
        <v>122</v>
      </c>
      <c r="AP6" s="2">
        <v>32</v>
      </c>
    </row>
    <row r="7" spans="1:42" x14ac:dyDescent="0.25">
      <c r="AO7" s="13" t="s">
        <v>123</v>
      </c>
      <c r="AP7" s="2">
        <v>1</v>
      </c>
    </row>
    <row r="8" spans="1:42" x14ac:dyDescent="0.25">
      <c r="AO8" s="13" t="s">
        <v>124</v>
      </c>
      <c r="AP8" s="2" t="s">
        <v>273</v>
      </c>
    </row>
    <row r="9" spans="1:42" x14ac:dyDescent="0.25">
      <c r="AO9" s="13" t="s">
        <v>125</v>
      </c>
      <c r="AP9" s="2">
        <v>106</v>
      </c>
    </row>
  </sheetData>
  <mergeCells count="8">
    <mergeCell ref="G1:G2"/>
    <mergeCell ref="H1:AM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40618AF6D2824082B558746682274C" ma:contentTypeVersion="0" ma:contentTypeDescription="Create a new document." ma:contentTypeScope="" ma:versionID="e65666517536ccffa28b6de9d4c4937d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9A6FDFB-AC7E-4529-BE00-70D1492715C7}"/>
</file>

<file path=customXml/itemProps2.xml><?xml version="1.0" encoding="utf-8"?>
<ds:datastoreItem xmlns:ds="http://schemas.openxmlformats.org/officeDocument/2006/customXml" ds:itemID="{FF871CE0-F697-499B-A3C7-DA82C1AE92C5}"/>
</file>

<file path=customXml/itemProps3.xml><?xml version="1.0" encoding="utf-8"?>
<ds:datastoreItem xmlns:ds="http://schemas.openxmlformats.org/officeDocument/2006/customXml" ds:itemID="{31F79C11-D70C-453E-B247-F94F950B7C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T2O</vt:lpstr>
      <vt:lpstr>O2T</vt:lpstr>
      <vt:lpstr>CFG</vt:lpstr>
      <vt:lpstr>sensor (68h)</vt:lpstr>
      <vt:lpstr>vsm (69h)</vt:lpstr>
      <vt:lpstr>log (70h)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2013-07-30T17:37:16Z</dcterms:modified>
</cp:coreProperties>
</file>