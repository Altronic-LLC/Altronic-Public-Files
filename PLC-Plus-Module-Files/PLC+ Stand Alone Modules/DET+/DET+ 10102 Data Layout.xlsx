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6"/>
  </bookViews>
  <sheets>
    <sheet name="T2O" sheetId="1" r:id="rId1"/>
    <sheet name="O2T" sheetId="2" r:id="rId2"/>
    <sheet name="CFG" sheetId="3" r:id="rId3"/>
    <sheet name="fire_event (64h)" sheetId="7" r:id="rId4"/>
    <sheet name="base (65h)" sheetId="6" r:id="rId5"/>
    <sheet name="engine (66h)" sheetId="5" r:id="rId6"/>
    <sheet name="commission (300h)" sheetId="4" r:id="rId7"/>
  </sheets>
  <calcPr calcId="145621"/>
</workbook>
</file>

<file path=xl/calcChain.xml><?xml version="1.0" encoding="utf-8"?>
<calcChain xmlns="http://schemas.openxmlformats.org/spreadsheetml/2006/main">
  <c r="I14" i="7" l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I13" i="7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I12" i="7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J11" i="7"/>
  <c r="K11" i="7" s="1"/>
  <c r="L11" i="7" s="1"/>
  <c r="M11" i="7" s="1"/>
  <c r="N11" i="7" s="1"/>
  <c r="O11" i="7" s="1"/>
  <c r="P11" i="7" s="1"/>
  <c r="Q11" i="7" s="1"/>
  <c r="R11" i="7" s="1"/>
  <c r="S11" i="7" s="1"/>
  <c r="T11" i="7" s="1"/>
  <c r="U11" i="7" s="1"/>
  <c r="V11" i="7" s="1"/>
  <c r="W11" i="7" s="1"/>
  <c r="I11" i="7"/>
  <c r="I10" i="7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I9" i="7"/>
  <c r="J9" i="7" s="1"/>
  <c r="K9" i="7" s="1"/>
  <c r="L9" i="7" s="1"/>
  <c r="M9" i="7" s="1"/>
  <c r="N9" i="7" s="1"/>
  <c r="O9" i="7" s="1"/>
  <c r="P9" i="7" s="1"/>
  <c r="Q9" i="7" s="1"/>
  <c r="R9" i="7" s="1"/>
  <c r="S9" i="7" s="1"/>
  <c r="T9" i="7" s="1"/>
  <c r="U9" i="7" s="1"/>
  <c r="V9" i="7" s="1"/>
  <c r="W9" i="7" s="1"/>
  <c r="I8" i="7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J7" i="7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I7" i="7"/>
  <c r="I6" i="7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I5" i="7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I3" i="7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H14" i="4"/>
  <c r="H15" i="4"/>
  <c r="H16" i="4"/>
  <c r="H26" i="4" s="1"/>
  <c r="H36" i="4" s="1"/>
  <c r="H46" i="4" s="1"/>
  <c r="H56" i="4" s="1"/>
  <c r="H66" i="4" s="1"/>
  <c r="H76" i="4" s="1"/>
  <c r="H86" i="4" s="1"/>
  <c r="H96" i="4" s="1"/>
  <c r="H106" i="4" s="1"/>
  <c r="H116" i="4" s="1"/>
  <c r="H126" i="4" s="1"/>
  <c r="H136" i="4" s="1"/>
  <c r="H146" i="4" s="1"/>
  <c r="H156" i="4" s="1"/>
  <c r="H17" i="4"/>
  <c r="H27" i="4" s="1"/>
  <c r="H37" i="4" s="1"/>
  <c r="H47" i="4" s="1"/>
  <c r="H57" i="4" s="1"/>
  <c r="H67" i="4" s="1"/>
  <c r="H77" i="4" s="1"/>
  <c r="H87" i="4" s="1"/>
  <c r="H97" i="4" s="1"/>
  <c r="H107" i="4" s="1"/>
  <c r="H117" i="4" s="1"/>
  <c r="H127" i="4" s="1"/>
  <c r="H137" i="4" s="1"/>
  <c r="H147" i="4" s="1"/>
  <c r="H157" i="4" s="1"/>
  <c r="H18" i="4"/>
  <c r="H19" i="4"/>
  <c r="H20" i="4"/>
  <c r="H30" i="4" s="1"/>
  <c r="H40" i="4" s="1"/>
  <c r="H50" i="4" s="1"/>
  <c r="H60" i="4" s="1"/>
  <c r="H70" i="4" s="1"/>
  <c r="H80" i="4" s="1"/>
  <c r="H90" i="4" s="1"/>
  <c r="H100" i="4" s="1"/>
  <c r="H110" i="4" s="1"/>
  <c r="H120" i="4" s="1"/>
  <c r="H130" i="4" s="1"/>
  <c r="H140" i="4" s="1"/>
  <c r="H150" i="4" s="1"/>
  <c r="H160" i="4" s="1"/>
  <c r="H21" i="4"/>
  <c r="H31" i="4" s="1"/>
  <c r="H41" i="4" s="1"/>
  <c r="H51" i="4" s="1"/>
  <c r="H61" i="4" s="1"/>
  <c r="H71" i="4" s="1"/>
  <c r="H81" i="4" s="1"/>
  <c r="H91" i="4" s="1"/>
  <c r="H101" i="4" s="1"/>
  <c r="H111" i="4" s="1"/>
  <c r="H121" i="4" s="1"/>
  <c r="H131" i="4" s="1"/>
  <c r="H141" i="4" s="1"/>
  <c r="H151" i="4" s="1"/>
  <c r="H161" i="4" s="1"/>
  <c r="H22" i="4"/>
  <c r="H24" i="4"/>
  <c r="H34" i="4" s="1"/>
  <c r="H44" i="4" s="1"/>
  <c r="H54" i="4" s="1"/>
  <c r="H64" i="4" s="1"/>
  <c r="H74" i="4" s="1"/>
  <c r="H84" i="4" s="1"/>
  <c r="H94" i="4" s="1"/>
  <c r="H104" i="4" s="1"/>
  <c r="H114" i="4" s="1"/>
  <c r="H124" i="4" s="1"/>
  <c r="H134" i="4" s="1"/>
  <c r="H144" i="4" s="1"/>
  <c r="H154" i="4" s="1"/>
  <c r="H25" i="4"/>
  <c r="H35" i="4" s="1"/>
  <c r="H45" i="4" s="1"/>
  <c r="H55" i="4" s="1"/>
  <c r="H65" i="4" s="1"/>
  <c r="H75" i="4" s="1"/>
  <c r="H85" i="4" s="1"/>
  <c r="H95" i="4" s="1"/>
  <c r="H105" i="4" s="1"/>
  <c r="H115" i="4" s="1"/>
  <c r="H125" i="4" s="1"/>
  <c r="H135" i="4" s="1"/>
  <c r="H145" i="4" s="1"/>
  <c r="H155" i="4" s="1"/>
  <c r="H28" i="4"/>
  <c r="H38" i="4" s="1"/>
  <c r="H48" i="4" s="1"/>
  <c r="H58" i="4" s="1"/>
  <c r="H68" i="4" s="1"/>
  <c r="H78" i="4" s="1"/>
  <c r="H88" i="4" s="1"/>
  <c r="H98" i="4" s="1"/>
  <c r="H108" i="4" s="1"/>
  <c r="H118" i="4" s="1"/>
  <c r="H128" i="4" s="1"/>
  <c r="H138" i="4" s="1"/>
  <c r="H148" i="4" s="1"/>
  <c r="H158" i="4" s="1"/>
  <c r="H29" i="4"/>
  <c r="H39" i="4" s="1"/>
  <c r="H49" i="4" s="1"/>
  <c r="H59" i="4" s="1"/>
  <c r="H69" i="4" s="1"/>
  <c r="H79" i="4" s="1"/>
  <c r="H89" i="4" s="1"/>
  <c r="H99" i="4" s="1"/>
  <c r="H109" i="4" s="1"/>
  <c r="H119" i="4" s="1"/>
  <c r="H129" i="4" s="1"/>
  <c r="H139" i="4" s="1"/>
  <c r="H149" i="4" s="1"/>
  <c r="H159" i="4" s="1"/>
  <c r="H32" i="4"/>
  <c r="H42" i="4" s="1"/>
  <c r="H52" i="4" s="1"/>
  <c r="H62" i="4" s="1"/>
  <c r="H72" i="4" s="1"/>
  <c r="H82" i="4" s="1"/>
  <c r="H92" i="4" s="1"/>
  <c r="H102" i="4" s="1"/>
  <c r="H112" i="4" s="1"/>
  <c r="H122" i="4" s="1"/>
  <c r="H132" i="4" s="1"/>
  <c r="H142" i="4" s="1"/>
  <c r="H152" i="4" s="1"/>
  <c r="H162" i="4" s="1"/>
  <c r="H13" i="4"/>
  <c r="H23" i="4" s="1"/>
  <c r="H33" i="4" s="1"/>
  <c r="H43" i="4" s="1"/>
  <c r="H53" i="4" s="1"/>
  <c r="H63" i="4" s="1"/>
  <c r="H73" i="4" s="1"/>
  <c r="H83" i="4" s="1"/>
  <c r="H93" i="4" s="1"/>
  <c r="H103" i="4" s="1"/>
  <c r="H113" i="4" s="1"/>
  <c r="H123" i="4" s="1"/>
  <c r="H133" i="4" s="1"/>
  <c r="H143" i="4" s="1"/>
  <c r="H153" i="4" s="1"/>
  <c r="L1" i="3"/>
  <c r="C56" i="1"/>
  <c r="C57" i="1" s="1"/>
  <c r="C58" i="1" s="1"/>
  <c r="C59" i="1" s="1"/>
  <c r="C60" i="1" s="1"/>
  <c r="C61" i="1" s="1"/>
</calcChain>
</file>

<file path=xl/sharedStrings.xml><?xml version="1.0" encoding="utf-8"?>
<sst xmlns="http://schemas.openxmlformats.org/spreadsheetml/2006/main" count="1379" uniqueCount="706">
  <si>
    <t>Size:</t>
  </si>
  <si>
    <t>Data Type:</t>
  </si>
  <si>
    <t>INT</t>
  </si>
  <si>
    <t>Instance:</t>
  </si>
  <si>
    <t>Value</t>
  </si>
  <si>
    <t>Note:</t>
  </si>
  <si>
    <t>Bits:</t>
  </si>
  <si>
    <t>Reserved</t>
  </si>
  <si>
    <t>Integers</t>
  </si>
  <si>
    <t>***</t>
  </si>
  <si>
    <t>n</t>
  </si>
  <si>
    <t>Min</t>
  </si>
  <si>
    <t>Max</t>
  </si>
  <si>
    <t>Status Control</t>
  </si>
  <si>
    <t>Default</t>
  </si>
  <si>
    <t>SINT</t>
  </si>
  <si>
    <t>Actual values are INT unless otherwise specified and can be copied to a corresponding UDT</t>
  </si>
  <si>
    <t>DETPlus:I.Data[n]</t>
  </si>
  <si>
    <t>Misfire 1</t>
  </si>
  <si>
    <t>Misfire 2</t>
  </si>
  <si>
    <t>Misfire 3</t>
  </si>
  <si>
    <t>Misfire 4</t>
  </si>
  <si>
    <t>Misfire 5</t>
  </si>
  <si>
    <t>Misfire 6</t>
  </si>
  <si>
    <t>Misfire 7</t>
  </si>
  <si>
    <t>Misfire 8</t>
  </si>
  <si>
    <t>Misfire 9</t>
  </si>
  <si>
    <t>Misfire 10</t>
  </si>
  <si>
    <t>Misfire 11</t>
  </si>
  <si>
    <t>Misfire 12</t>
  </si>
  <si>
    <t>Misfire 13</t>
  </si>
  <si>
    <t>Misfire 14</t>
  </si>
  <si>
    <t>Misfire 15</t>
  </si>
  <si>
    <t>Misfire 16</t>
  </si>
  <si>
    <t>Detonation 1</t>
  </si>
  <si>
    <t>Detonation 2</t>
  </si>
  <si>
    <t>Detonation 3</t>
  </si>
  <si>
    <t>Detonation 4</t>
  </si>
  <si>
    <t>Detonation 5</t>
  </si>
  <si>
    <t>Detonation 6</t>
  </si>
  <si>
    <t>Detonation 7</t>
  </si>
  <si>
    <t>Detonation 8</t>
  </si>
  <si>
    <t>Detonation 9</t>
  </si>
  <si>
    <t>Detonation 10</t>
  </si>
  <si>
    <t>Detonation 11</t>
  </si>
  <si>
    <t>Detonation 12</t>
  </si>
  <si>
    <t>Detonation 13</t>
  </si>
  <si>
    <t>Detonation 14</t>
  </si>
  <si>
    <t>Detonation 15</t>
  </si>
  <si>
    <t>Detonation 16</t>
  </si>
  <si>
    <t>Retard 1</t>
  </si>
  <si>
    <t>Retard 2</t>
  </si>
  <si>
    <t>Retard 3</t>
  </si>
  <si>
    <t>Retard 4</t>
  </si>
  <si>
    <t>Retard 5</t>
  </si>
  <si>
    <t>Retard 6</t>
  </si>
  <si>
    <t>Retard 7</t>
  </si>
  <si>
    <t>Retard 8</t>
  </si>
  <si>
    <t>Retard 9</t>
  </si>
  <si>
    <t>Retard 10</t>
  </si>
  <si>
    <t>Retard 11</t>
  </si>
  <si>
    <t>Retard 12</t>
  </si>
  <si>
    <t>Retard 13</t>
  </si>
  <si>
    <t>Retard 14</t>
  </si>
  <si>
    <t>Retard 15</t>
  </si>
  <si>
    <t>Retard 16</t>
  </si>
  <si>
    <t>Approximate RPM</t>
  </si>
  <si>
    <t>Average Misfire</t>
  </si>
  <si>
    <t>Average Detonation</t>
  </si>
  <si>
    <t>Diagnostic Bits</t>
  </si>
  <si>
    <t>Communication Status Register</t>
  </si>
  <si>
    <t>Rotation Sensed</t>
  </si>
  <si>
    <t>Timing Control Engaged</t>
  </si>
  <si>
    <t>Switch 1 Active</t>
  </si>
  <si>
    <t>Switch 2 Active</t>
  </si>
  <si>
    <t>Control RPM Achieved</t>
  </si>
  <si>
    <t>G Lead Signal Present</t>
  </si>
  <si>
    <t>#1 Cylinder Signal Present</t>
  </si>
  <si>
    <t>Ignition Communication Present</t>
  </si>
  <si>
    <t>Factory Calibration Enabled</t>
  </si>
  <si>
    <t>Watchdog Failure</t>
  </si>
  <si>
    <t>System Reset Flag</t>
  </si>
  <si>
    <t>Current Loop Fault</t>
  </si>
  <si>
    <t>Controls Locked Out</t>
  </si>
  <si>
    <t>Alarms Present</t>
  </si>
  <si>
    <t>Window Parameters Invalid</t>
  </si>
  <si>
    <t>Direct High Detonation Flags (16 Bits)</t>
  </si>
  <si>
    <t>Sensor Status (16 Bits)</t>
  </si>
  <si>
    <t>Detonation Detected (16 Bits)</t>
  </si>
  <si>
    <t>Misfire Detected (16 Bits)</t>
  </si>
  <si>
    <t>SW2 Trip Fault (16 Bits)</t>
  </si>
  <si>
    <t>SW2 Trip Detonation (16 Bits)</t>
  </si>
  <si>
    <t>SW2 Trip Misfire (16 Bits)</t>
  </si>
  <si>
    <t>Control Bits</t>
  </si>
  <si>
    <t>00001</t>
  </si>
  <si>
    <t>DET Lag Filter</t>
  </si>
  <si>
    <t>Misfire Lag Filter</t>
  </si>
  <si>
    <t>Misfire Set Point</t>
  </si>
  <si>
    <t>Switch 1 Hysteresis Time</t>
  </si>
  <si>
    <t>Detonation Set Point</t>
  </si>
  <si>
    <t>Switch 2 Trip Time</t>
  </si>
  <si>
    <t>Retard Step Time</t>
  </si>
  <si>
    <t>Advance Step Time</t>
  </si>
  <si>
    <t>Detonation High Set Point</t>
  </si>
  <si>
    <t>Bad Sensor Set Point</t>
  </si>
  <si>
    <t>Timing From Ignition</t>
  </si>
  <si>
    <t>Ignition Timing Control Enable</t>
  </si>
  <si>
    <t>Switch 1 Enable</t>
  </si>
  <si>
    <t>Switch 1 Failsafe</t>
  </si>
  <si>
    <t>Switch 1 Trip on Diagnostics</t>
  </si>
  <si>
    <t>Switch 2 Enable</t>
  </si>
  <si>
    <t>Switch 2 Failsafe</t>
  </si>
  <si>
    <t>Switch 1 Latch</t>
  </si>
  <si>
    <t>Switch 2 Latch</t>
  </si>
  <si>
    <t>External Ignition Timing Enable</t>
  </si>
  <si>
    <t>Sensor Enable (16 Bits)</t>
  </si>
  <si>
    <t>00033</t>
  </si>
  <si>
    <t>Number of Cylinders</t>
  </si>
  <si>
    <t>Number of Cycles</t>
  </si>
  <si>
    <t>Control RPM</t>
  </si>
  <si>
    <t>Initial Wait Time</t>
  </si>
  <si>
    <t>Current Loop retard at 4ma</t>
  </si>
  <si>
    <t>Current Loop retard at 20ma</t>
  </si>
  <si>
    <t>Default Ignition Timing</t>
  </si>
  <si>
    <t>Maximum Retard</t>
  </si>
  <si>
    <t>External Timing Location</t>
  </si>
  <si>
    <t>00017</t>
  </si>
  <si>
    <t>Timing Output Register</t>
  </si>
  <si>
    <t>Default Timing Offset</t>
  </si>
  <si>
    <t>Ignition Node</t>
  </si>
  <si>
    <t>Ignition Baud</t>
  </si>
  <si>
    <t>Baud Rates</t>
  </si>
  <si>
    <t>0=9,600
1=19,200
2=38,400
3=57,600
4=115,200</t>
  </si>
  <si>
    <t>Ignition Baud
***See Below***</t>
  </si>
  <si>
    <t>Ignition Control</t>
  </si>
  <si>
    <t>Reserved
(was "Sensor Count")</t>
  </si>
  <si>
    <t>DETPlus:O.Data[n]</t>
  </si>
  <si>
    <t>DETPlus:C.Data[n]</t>
  </si>
  <si>
    <t>Loop Control Enabled</t>
  </si>
  <si>
    <t>Modbus Master Control Enabled</t>
  </si>
  <si>
    <t>This can't be sent while engine is rotating.</t>
  </si>
  <si>
    <t>Attribute</t>
  </si>
  <si>
    <t>Tag</t>
  </si>
  <si>
    <t>Access</t>
  </si>
  <si>
    <t>Data Type</t>
  </si>
  <si>
    <t>Minimum</t>
  </si>
  <si>
    <t>Maximum</t>
  </si>
  <si>
    <t>prescale1</t>
  </si>
  <si>
    <t>mf_gain1</t>
  </si>
  <si>
    <t>mf_bp1</t>
  </si>
  <si>
    <t>ID</t>
  </si>
  <si>
    <t>Prescale Cylinder 1</t>
  </si>
  <si>
    <t>Misfire Gain Cylinder 1</t>
  </si>
  <si>
    <t>Misfire Bandpass Cylinder 1</t>
  </si>
  <si>
    <t>Misfire Time Cylinder 1</t>
  </si>
  <si>
    <t>Detonation Gain Cylinder 1</t>
  </si>
  <si>
    <t>Detonation Bandpass Cylinder 1</t>
  </si>
  <si>
    <t>mf_time1</t>
  </si>
  <si>
    <t>det_gain1</t>
  </si>
  <si>
    <t>det_bp1</t>
  </si>
  <si>
    <t>det_time1</t>
  </si>
  <si>
    <t>MFNrmOfst1</t>
  </si>
  <si>
    <t>DNrmOfst1</t>
  </si>
  <si>
    <t>snsr_nmbr1</t>
  </si>
  <si>
    <t>Detonation Time Cylinder 1</t>
  </si>
  <si>
    <t>Misfire Normalized Offset Cylinder 1</t>
  </si>
  <si>
    <t>Detonation Normalized Offset Cylinder 1</t>
  </si>
  <si>
    <t>Sensor Number Cylinder 1</t>
  </si>
  <si>
    <t>Prescale Cylinder 2</t>
  </si>
  <si>
    <t>Misfire Gain Cylinder 2</t>
  </si>
  <si>
    <t>Misfire Bandpass Cylinder 2</t>
  </si>
  <si>
    <t>Misfire Time Cylinder 2</t>
  </si>
  <si>
    <t>Detonation Gain Cylinder 2</t>
  </si>
  <si>
    <t>Detonation Bandpass Cylinder 2</t>
  </si>
  <si>
    <t>Detonation Time Cylinder 2</t>
  </si>
  <si>
    <t>Misfire Normalized Offset Cylinder 2</t>
  </si>
  <si>
    <t>Detonation Normalized Offset Cylinder 2</t>
  </si>
  <si>
    <t>Sensor Number Cylinder 2</t>
  </si>
  <si>
    <t>Prescale Cylinder 3</t>
  </si>
  <si>
    <t>Misfire Gain Cylinder 3</t>
  </si>
  <si>
    <t>Misfire Bandpass Cylinder 3</t>
  </si>
  <si>
    <t>Misfire Time Cylinder 3</t>
  </si>
  <si>
    <t>Detonation Gain Cylinder 3</t>
  </si>
  <si>
    <t>Detonation Bandpass Cylinder 3</t>
  </si>
  <si>
    <t>Detonation Time Cylinder 3</t>
  </si>
  <si>
    <t>Misfire Normalized Offset Cylinder 3</t>
  </si>
  <si>
    <t>Detonation Normalized Offset Cylinder 3</t>
  </si>
  <si>
    <t>Sensor Number Cylinder 3</t>
  </si>
  <si>
    <t>Prescale Cylinder 4</t>
  </si>
  <si>
    <t>Misfire Gain Cylinder 4</t>
  </si>
  <si>
    <t>Misfire Bandpass Cylinder 4</t>
  </si>
  <si>
    <t>Misfire Time Cylinder 4</t>
  </si>
  <si>
    <t>Detonation Gain Cylinder 4</t>
  </si>
  <si>
    <t>Detonation Bandpass Cylinder 4</t>
  </si>
  <si>
    <t>Detonation Time Cylinder 4</t>
  </si>
  <si>
    <t>Misfire Normalized Offset Cylinder 4</t>
  </si>
  <si>
    <t>Detonation Normalized Offset Cylinder 4</t>
  </si>
  <si>
    <t>Sensor Number Cylinder 4</t>
  </si>
  <si>
    <t>Prescale Cylinder 5</t>
  </si>
  <si>
    <t>Misfire Gain Cylinder 5</t>
  </si>
  <si>
    <t>Misfire Bandpass Cylinder 5</t>
  </si>
  <si>
    <t>Misfire Time Cylinder 5</t>
  </si>
  <si>
    <t>Detonation Gain Cylinder 5</t>
  </si>
  <si>
    <t>Detonation Bandpass Cylinder 5</t>
  </si>
  <si>
    <t>Detonation Time Cylinder 5</t>
  </si>
  <si>
    <t>Misfire Normalized Offset Cylinder 5</t>
  </si>
  <si>
    <t>Detonation Normalized Offset Cylinder 5</t>
  </si>
  <si>
    <t>Sensor Number Cylinder 5</t>
  </si>
  <si>
    <t>Prescale Cylinder 6</t>
  </si>
  <si>
    <t>Misfire Gain Cylinder 6</t>
  </si>
  <si>
    <t>Misfire Bandpass Cylinder 6</t>
  </si>
  <si>
    <t>Misfire Time Cylinder 6</t>
  </si>
  <si>
    <t>Detonation Gain Cylinder 6</t>
  </si>
  <si>
    <t>Detonation Bandpass Cylinder 6</t>
  </si>
  <si>
    <t>Detonation Time Cylinder 6</t>
  </si>
  <si>
    <t>Misfire Normalized Offset Cylinder 6</t>
  </si>
  <si>
    <t>Detonation Normalized Offset Cylinder 6</t>
  </si>
  <si>
    <t>Sensor Number Cylinder 6</t>
  </si>
  <si>
    <t>Prescale Cylinder 7</t>
  </si>
  <si>
    <t>Misfire Gain Cylinder 7</t>
  </si>
  <si>
    <t>Misfire Bandpass Cylinder 7</t>
  </si>
  <si>
    <t>Misfire Time Cylinder 7</t>
  </si>
  <si>
    <t>Detonation Gain Cylinder 7</t>
  </si>
  <si>
    <t>Detonation Bandpass Cylinder 7</t>
  </si>
  <si>
    <t>Detonation Time Cylinder 7</t>
  </si>
  <si>
    <t>Misfire Normalized Offset Cylinder 7</t>
  </si>
  <si>
    <t>Detonation Normalized Offset Cylinder 7</t>
  </si>
  <si>
    <t>Sensor Number Cylinder 7</t>
  </si>
  <si>
    <t>Prescale Cylinder 8</t>
  </si>
  <si>
    <t>Misfire Gain Cylinder 8</t>
  </si>
  <si>
    <t>Misfire Bandpass Cylinder 8</t>
  </si>
  <si>
    <t>Misfire Time Cylinder 8</t>
  </si>
  <si>
    <t>Detonation Gain Cylinder 8</t>
  </si>
  <si>
    <t>Detonation Bandpass Cylinder 8</t>
  </si>
  <si>
    <t>Detonation Time Cylinder 8</t>
  </si>
  <si>
    <t>Misfire Normalized Offset Cylinder 8</t>
  </si>
  <si>
    <t>Detonation Normalized Offset Cylinder 8</t>
  </si>
  <si>
    <t>Sensor Number Cylinder 8</t>
  </si>
  <si>
    <t>Prescale Cylinder 9</t>
  </si>
  <si>
    <t>Misfire Gain Cylinder 9</t>
  </si>
  <si>
    <t>Misfire Bandpass Cylinder 9</t>
  </si>
  <si>
    <t>Misfire Time Cylinder 9</t>
  </si>
  <si>
    <t>Detonation Gain Cylinder 9</t>
  </si>
  <si>
    <t>Detonation Bandpass Cylinder 9</t>
  </si>
  <si>
    <t>Detonation Time Cylinder 9</t>
  </si>
  <si>
    <t>Misfire Normalized Offset Cylinder 9</t>
  </si>
  <si>
    <t>Detonation Normalized Offset Cylinder 9</t>
  </si>
  <si>
    <t>Sensor Number Cylinder 9</t>
  </si>
  <si>
    <t>Prescale Cylinder 10</t>
  </si>
  <si>
    <t>Misfire Gain Cylinder 10</t>
  </si>
  <si>
    <t>Misfire Bandpass Cylinder 10</t>
  </si>
  <si>
    <t>Misfire Time Cylinder 10</t>
  </si>
  <si>
    <t>Detonation Gain Cylinder 10</t>
  </si>
  <si>
    <t>Detonation Bandpass Cylinder 10</t>
  </si>
  <si>
    <t>Detonation Time Cylinder 10</t>
  </si>
  <si>
    <t>Misfire Normalized Offset Cylinder 10</t>
  </si>
  <si>
    <t>Detonation Normalized Offset Cylinder 10</t>
  </si>
  <si>
    <t>Sensor Number Cylinder 10</t>
  </si>
  <si>
    <t>Prescale Cylinder 11</t>
  </si>
  <si>
    <t>Misfire Gain Cylinder 11</t>
  </si>
  <si>
    <t>Misfire Bandpass Cylinder 11</t>
  </si>
  <si>
    <t>Misfire Time Cylinder 11</t>
  </si>
  <si>
    <t>Detonation Gain Cylinder 11</t>
  </si>
  <si>
    <t>Detonation Bandpass Cylinder 11</t>
  </si>
  <si>
    <t>Detonation Time Cylinder 11</t>
  </si>
  <si>
    <t>Misfire Normalized Offset Cylinder 11</t>
  </si>
  <si>
    <t>Detonation Normalized Offset Cylinder 11</t>
  </si>
  <si>
    <t>Sensor Number Cylinder 11</t>
  </si>
  <si>
    <t>Prescale Cylinder 12</t>
  </si>
  <si>
    <t>Misfire Gain Cylinder 12</t>
  </si>
  <si>
    <t>Misfire Bandpass Cylinder 12</t>
  </si>
  <si>
    <t>Misfire Time Cylinder 12</t>
  </si>
  <si>
    <t>Detonation Gain Cylinder 12</t>
  </si>
  <si>
    <t>Detonation Bandpass Cylinder 12</t>
  </si>
  <si>
    <t>Detonation Time Cylinder 12</t>
  </si>
  <si>
    <t>Misfire Normalized Offset Cylinder 12</t>
  </si>
  <si>
    <t>Detonation Normalized Offset Cylinder 12</t>
  </si>
  <si>
    <t>Sensor Number Cylinder 12</t>
  </si>
  <si>
    <t>Prescale Cylinder 13</t>
  </si>
  <si>
    <t>Misfire Gain Cylinder 13</t>
  </si>
  <si>
    <t>Misfire Bandpass Cylinder 13</t>
  </si>
  <si>
    <t>Misfire Time Cylinder 13</t>
  </si>
  <si>
    <t>Detonation Gain Cylinder 13</t>
  </si>
  <si>
    <t>Detonation Bandpass Cylinder 13</t>
  </si>
  <si>
    <t>Detonation Time Cylinder 13</t>
  </si>
  <si>
    <t>Misfire Normalized Offset Cylinder 13</t>
  </si>
  <si>
    <t>Detonation Normalized Offset Cylinder 13</t>
  </si>
  <si>
    <t>Sensor Number Cylinder 13</t>
  </si>
  <si>
    <t>Prescale Cylinder 14</t>
  </si>
  <si>
    <t>Misfire Gain Cylinder 14</t>
  </si>
  <si>
    <t>Misfire Bandpass Cylinder 14</t>
  </si>
  <si>
    <t>Misfire Time Cylinder 14</t>
  </si>
  <si>
    <t>Detonation Gain Cylinder 14</t>
  </si>
  <si>
    <t>Detonation Bandpass Cylinder 14</t>
  </si>
  <si>
    <t>Detonation Time Cylinder 14</t>
  </si>
  <si>
    <t>Misfire Normalized Offset Cylinder 14</t>
  </si>
  <si>
    <t>Detonation Normalized Offset Cylinder 14</t>
  </si>
  <si>
    <t>Sensor Number Cylinder 14</t>
  </si>
  <si>
    <t>Prescale Cylinder 15</t>
  </si>
  <si>
    <t>Misfire Gain Cylinder 15</t>
  </si>
  <si>
    <t>Misfire Bandpass Cylinder 15</t>
  </si>
  <si>
    <t>Misfire Time Cylinder 15</t>
  </si>
  <si>
    <t>Detonation Gain Cylinder 15</t>
  </si>
  <si>
    <t>Detonation Bandpass Cylinder 15</t>
  </si>
  <si>
    <t>Detonation Time Cylinder 15</t>
  </si>
  <si>
    <t>Misfire Normalized Offset Cylinder 15</t>
  </si>
  <si>
    <t>Detonation Normalized Offset Cylinder 15</t>
  </si>
  <si>
    <t>Sensor Number Cylinder 15</t>
  </si>
  <si>
    <t>Prescale Cylinder 16</t>
  </si>
  <si>
    <t>Misfire Gain Cylinder 16</t>
  </si>
  <si>
    <t>Misfire Bandpass Cylinder 16</t>
  </si>
  <si>
    <t>Misfire Time Cylinder 16</t>
  </si>
  <si>
    <t>Detonation Gain Cylinder 16</t>
  </si>
  <si>
    <t>Detonation Bandpass Cylinder 16</t>
  </si>
  <si>
    <t>Detonation Time Cylinder 16</t>
  </si>
  <si>
    <t>Misfire Normalized Offset Cylinder 16</t>
  </si>
  <si>
    <t>Detonation Normalized Offset Cylinder 16</t>
  </si>
  <si>
    <t>Sensor Number Cylinder 16</t>
  </si>
  <si>
    <t>prescale2</t>
  </si>
  <si>
    <t>mf_gain2</t>
  </si>
  <si>
    <t>mf_bp2</t>
  </si>
  <si>
    <t>mf_time2</t>
  </si>
  <si>
    <t>det_gain2</t>
  </si>
  <si>
    <t>det_bp2</t>
  </si>
  <si>
    <t>det_time2</t>
  </si>
  <si>
    <t>MFNrmOfst2</t>
  </si>
  <si>
    <t>DNrmOfst2</t>
  </si>
  <si>
    <t>snsr_nmbr2</t>
  </si>
  <si>
    <t>prescale3</t>
  </si>
  <si>
    <t>mf_gain3</t>
  </si>
  <si>
    <t>mf_bp3</t>
  </si>
  <si>
    <t>mf_time3</t>
  </si>
  <si>
    <t>det_gain3</t>
  </si>
  <si>
    <t>det_bp3</t>
  </si>
  <si>
    <t>det_time3</t>
  </si>
  <si>
    <t>MFNrmOfst3</t>
  </si>
  <si>
    <t>DNrmOfst3</t>
  </si>
  <si>
    <t>snsr_nmbr3</t>
  </si>
  <si>
    <t>prescale4</t>
  </si>
  <si>
    <t>mf_gain4</t>
  </si>
  <si>
    <t>mf_bp4</t>
  </si>
  <si>
    <t>mf_time4</t>
  </si>
  <si>
    <t>det_gain4</t>
  </si>
  <si>
    <t>det_bp4</t>
  </si>
  <si>
    <t>det_time4</t>
  </si>
  <si>
    <t>MFNrmOfst4</t>
  </si>
  <si>
    <t>DNrmOfst4</t>
  </si>
  <si>
    <t>snsr_nmbr4</t>
  </si>
  <si>
    <t>prescale5</t>
  </si>
  <si>
    <t>mf_gain5</t>
  </si>
  <si>
    <t>mf_bp5</t>
  </si>
  <si>
    <t>mf_time5</t>
  </si>
  <si>
    <t>det_gain5</t>
  </si>
  <si>
    <t>det_bp5</t>
  </si>
  <si>
    <t>det_time5</t>
  </si>
  <si>
    <t>MFNrmOfst5</t>
  </si>
  <si>
    <t>DNrmOfst5</t>
  </si>
  <si>
    <t>snsr_nmbr5</t>
  </si>
  <si>
    <t>prescale6</t>
  </si>
  <si>
    <t>mf_gain6</t>
  </si>
  <si>
    <t>mf_bp6</t>
  </si>
  <si>
    <t>mf_time6</t>
  </si>
  <si>
    <t>det_gain6</t>
  </si>
  <si>
    <t>det_bp6</t>
  </si>
  <si>
    <t>det_time6</t>
  </si>
  <si>
    <t>MFNrmOfst6</t>
  </si>
  <si>
    <t>DNrmOfst6</t>
  </si>
  <si>
    <t>snsr_nmbr6</t>
  </si>
  <si>
    <t>prescale7</t>
  </si>
  <si>
    <t>mf_gain7</t>
  </si>
  <si>
    <t>mf_bp7</t>
  </si>
  <si>
    <t>mf_time7</t>
  </si>
  <si>
    <t>det_gain7</t>
  </si>
  <si>
    <t>det_bp7</t>
  </si>
  <si>
    <t>det_time7</t>
  </si>
  <si>
    <t>MFNrmOfst7</t>
  </si>
  <si>
    <t>DNrmOfst7</t>
  </si>
  <si>
    <t>snsr_nmbr7</t>
  </si>
  <si>
    <t>prescale8</t>
  </si>
  <si>
    <t>mf_gain8</t>
  </si>
  <si>
    <t>mf_bp8</t>
  </si>
  <si>
    <t>mf_time8</t>
  </si>
  <si>
    <t>det_gain8</t>
  </si>
  <si>
    <t>det_bp8</t>
  </si>
  <si>
    <t>det_time8</t>
  </si>
  <si>
    <t>MFNrmOfst8</t>
  </si>
  <si>
    <t>DNrmOfst8</t>
  </si>
  <si>
    <t>snsr_nmbr8</t>
  </si>
  <si>
    <t>prescale9</t>
  </si>
  <si>
    <t>mf_gain9</t>
  </si>
  <si>
    <t>mf_bp9</t>
  </si>
  <si>
    <t>mf_time9</t>
  </si>
  <si>
    <t>det_gain9</t>
  </si>
  <si>
    <t>det_bp9</t>
  </si>
  <si>
    <t>det_time9</t>
  </si>
  <si>
    <t>MFNrmOfst9</t>
  </si>
  <si>
    <t>DNrmOfst9</t>
  </si>
  <si>
    <t>snsr_nmbr9</t>
  </si>
  <si>
    <t>prescale10</t>
  </si>
  <si>
    <t>mf_gain10</t>
  </si>
  <si>
    <t>mf_bp10</t>
  </si>
  <si>
    <t>mf_time10</t>
  </si>
  <si>
    <t>det_gain10</t>
  </si>
  <si>
    <t>det_bp10</t>
  </si>
  <si>
    <t>det_time10</t>
  </si>
  <si>
    <t>MFNrmOfst10</t>
  </si>
  <si>
    <t>DNrmOfst10</t>
  </si>
  <si>
    <t>snsr_nmbr10</t>
  </si>
  <si>
    <t>prescale11</t>
  </si>
  <si>
    <t>mf_gain11</t>
  </si>
  <si>
    <t>mf_bp11</t>
  </si>
  <si>
    <t>mf_time11</t>
  </si>
  <si>
    <t>det_gain11</t>
  </si>
  <si>
    <t>det_bp11</t>
  </si>
  <si>
    <t>det_time11</t>
  </si>
  <si>
    <t>MFNrmOfst11</t>
  </si>
  <si>
    <t>DNrmOfst11</t>
  </si>
  <si>
    <t>snsr_nmbr11</t>
  </si>
  <si>
    <t>prescale12</t>
  </si>
  <si>
    <t>mf_gain12</t>
  </si>
  <si>
    <t>mf_bp12</t>
  </si>
  <si>
    <t>mf_time12</t>
  </si>
  <si>
    <t>det_gain12</t>
  </si>
  <si>
    <t>det_bp12</t>
  </si>
  <si>
    <t>det_time12</t>
  </si>
  <si>
    <t>MFNrmOfst12</t>
  </si>
  <si>
    <t>DNrmOfst12</t>
  </si>
  <si>
    <t>snsr_nmbr12</t>
  </si>
  <si>
    <t>prescale13</t>
  </si>
  <si>
    <t>mf_gain13</t>
  </si>
  <si>
    <t>mf_bp13</t>
  </si>
  <si>
    <t>mf_time13</t>
  </si>
  <si>
    <t>det_gain13</t>
  </si>
  <si>
    <t>det_bp13</t>
  </si>
  <si>
    <t>det_time13</t>
  </si>
  <si>
    <t>MFNrmOfst13</t>
  </si>
  <si>
    <t>DNrmOfst13</t>
  </si>
  <si>
    <t>snsr_nmbr13</t>
  </si>
  <si>
    <t>prescale14</t>
  </si>
  <si>
    <t>mf_gain14</t>
  </si>
  <si>
    <t>mf_bp14</t>
  </si>
  <si>
    <t>mf_time14</t>
  </si>
  <si>
    <t>det_gain14</t>
  </si>
  <si>
    <t>det_bp14</t>
  </si>
  <si>
    <t>det_time14</t>
  </si>
  <si>
    <t>MFNrmOfst14</t>
  </si>
  <si>
    <t>DNrmOfst14</t>
  </si>
  <si>
    <t>snsr_nmbr14</t>
  </si>
  <si>
    <t>prescale15</t>
  </si>
  <si>
    <t>mf_gain15</t>
  </si>
  <si>
    <t>mf_bp15</t>
  </si>
  <si>
    <t>mf_time15</t>
  </si>
  <si>
    <t>det_gain15</t>
  </si>
  <si>
    <t>det_bp15</t>
  </si>
  <si>
    <t>det_time15</t>
  </si>
  <si>
    <t>MFNrmOfst15</t>
  </si>
  <si>
    <t>DNrmOfst15</t>
  </si>
  <si>
    <t>snsr_nmbr15</t>
  </si>
  <si>
    <t>prescale16</t>
  </si>
  <si>
    <t>mf_gain16</t>
  </si>
  <si>
    <t>mf_bp16</t>
  </si>
  <si>
    <t>mf_time16</t>
  </si>
  <si>
    <t>det_gain16</t>
  </si>
  <si>
    <t>det_bp16</t>
  </si>
  <si>
    <t>det_time16</t>
  </si>
  <si>
    <t>MFNrmOfst16</t>
  </si>
  <si>
    <t>DNrmOfst16</t>
  </si>
  <si>
    <t>snsr_nmbr16</t>
  </si>
  <si>
    <t>RW</t>
  </si>
  <si>
    <t>Instance ID Register</t>
  </si>
  <si>
    <t>Misfire Open</t>
  </si>
  <si>
    <t>Misfire Length</t>
  </si>
  <si>
    <t>Detonation Open</t>
  </si>
  <si>
    <t>Detonation Length</t>
  </si>
  <si>
    <t>Retard Step</t>
  </si>
  <si>
    <t>Advance Step</t>
  </si>
  <si>
    <t>mf_open</t>
  </si>
  <si>
    <t>mf_len</t>
  </si>
  <si>
    <t>det_open</t>
  </si>
  <si>
    <t>det_len</t>
  </si>
  <si>
    <t>ret_step</t>
  </si>
  <si>
    <t>adv_step</t>
  </si>
  <si>
    <t>Parameter Range:</t>
  </si>
  <si>
    <t>Parameter Group(s):</t>
  </si>
  <si>
    <t>Group:</t>
  </si>
  <si>
    <t>Yes</t>
  </si>
  <si>
    <t>Label Service Supported:</t>
  </si>
  <si>
    <t>Key Command Service Supported:</t>
  </si>
  <si>
    <t>No</t>
  </si>
  <si>
    <t>no_of_cyls</t>
  </si>
  <si>
    <t>cycles</t>
  </si>
  <si>
    <t>sensor_cnt</t>
  </si>
  <si>
    <t>control_rpm</t>
  </si>
  <si>
    <t>spk_timing</t>
  </si>
  <si>
    <t>ext_tim_reg</t>
  </si>
  <si>
    <t>out_tim_reg</t>
  </si>
  <si>
    <t>Sensor Count</t>
  </si>
  <si>
    <t>Spark Timing</t>
  </si>
  <si>
    <t>External Timing Register</t>
  </si>
  <si>
    <t>Modbus Node</t>
  </si>
  <si>
    <t>Modbus Baud</t>
  </si>
  <si>
    <t>Detonation Lag Filter</t>
  </si>
  <si>
    <t>Msifire Set Point</t>
  </si>
  <si>
    <t>Switch 1 Hysteresis</t>
  </si>
  <si>
    <t>Current Loop Retard at 20ma</t>
  </si>
  <si>
    <t>Current Loop Retard at 4ma</t>
  </si>
  <si>
    <t>Max Retard</t>
  </si>
  <si>
    <t>mb_node</t>
  </si>
  <si>
    <t>mb_baud</t>
  </si>
  <si>
    <t>det_lag_flt</t>
  </si>
  <si>
    <t>mf_lag_flt</t>
  </si>
  <si>
    <t>mf_set_pnt</t>
  </si>
  <si>
    <t>sw1_hyst</t>
  </si>
  <si>
    <t>det_set_pnt</t>
  </si>
  <si>
    <t>sw2_trp_tm</t>
  </si>
  <si>
    <t>init_wait</t>
  </si>
  <si>
    <t>loop_hi</t>
  </si>
  <si>
    <t>loop_low</t>
  </si>
  <si>
    <t>max_retard</t>
  </si>
  <si>
    <t>High Detonation Set Point</t>
  </si>
  <si>
    <t>Timing Offset</t>
  </si>
  <si>
    <t>ret_time</t>
  </si>
  <si>
    <t>adv_time</t>
  </si>
  <si>
    <t>det_high</t>
  </si>
  <si>
    <t>bad_sensor</t>
  </si>
  <si>
    <t>tim_ofst</t>
  </si>
  <si>
    <t>ign_node</t>
  </si>
  <si>
    <t>ign_baud</t>
  </si>
  <si>
    <t>Timing Control Enable</t>
  </si>
  <si>
    <t>Switch 1 State (Failsafe/Shelf)</t>
  </si>
  <si>
    <t>Switch 1 Latching</t>
  </si>
  <si>
    <t>Switch 2 State (Failsafe/Shelf)</t>
  </si>
  <si>
    <t>Switch 2 Latching</t>
  </si>
  <si>
    <t>Ignition Timing Enable</t>
  </si>
  <si>
    <t>Current Loop Control Enable</t>
  </si>
  <si>
    <t>Modbus Control Enable</t>
  </si>
  <si>
    <t>tim_ctrl_en</t>
  </si>
  <si>
    <t>sw1_en</t>
  </si>
  <si>
    <t>sw1_state</t>
  </si>
  <si>
    <t>sw1_type</t>
  </si>
  <si>
    <t>sw1_diag</t>
  </si>
  <si>
    <t>sw2_en</t>
  </si>
  <si>
    <t>sw2_state</t>
  </si>
  <si>
    <t>sw2_type</t>
  </si>
  <si>
    <t>ext_ign_en</t>
  </si>
  <si>
    <t>iLoop_en</t>
  </si>
  <si>
    <t>mb_ign_en</t>
  </si>
  <si>
    <t>00002</t>
  </si>
  <si>
    <t>00006</t>
  </si>
  <si>
    <t>00008</t>
  </si>
  <si>
    <t>00009</t>
  </si>
  <si>
    <t>00010</t>
  </si>
  <si>
    <t>00011</t>
  </si>
  <si>
    <t>00013</t>
  </si>
  <si>
    <t>00014</t>
  </si>
  <si>
    <t>00016</t>
  </si>
  <si>
    <t>00018</t>
  </si>
  <si>
    <t>RO</t>
  </si>
  <si>
    <t>Rotating</t>
  </si>
  <si>
    <t>Timing Enabled</t>
  </si>
  <si>
    <t>Ignition Comms Present</t>
  </si>
  <si>
    <t>Watchdog Fault</t>
  </si>
  <si>
    <t>System Reset</t>
  </si>
  <si>
    <t>Invalid Windows</t>
  </si>
  <si>
    <t>Sensor OK 1</t>
  </si>
  <si>
    <t>Sensor OK 2</t>
  </si>
  <si>
    <t>Sensor OK 3</t>
  </si>
  <si>
    <t>Sensor OK 4</t>
  </si>
  <si>
    <t>Sensor OK 5</t>
  </si>
  <si>
    <t>Sensor OK 6</t>
  </si>
  <si>
    <t>Sensor OK 7</t>
  </si>
  <si>
    <t>Sensor OK 8</t>
  </si>
  <si>
    <t>Sensor OK 9</t>
  </si>
  <si>
    <t>Sensor OK 10</t>
  </si>
  <si>
    <t>Sensor OK 11</t>
  </si>
  <si>
    <t>Sensor OK 12</t>
  </si>
  <si>
    <t>Sensor OK 13</t>
  </si>
  <si>
    <t>Sensor OK 14</t>
  </si>
  <si>
    <t>Sensor OK 15</t>
  </si>
  <si>
    <t>Sensor OK 16</t>
  </si>
  <si>
    <t>rotating</t>
  </si>
  <si>
    <t>timing_en</t>
  </si>
  <si>
    <t>sw1_active</t>
  </si>
  <si>
    <t>sw2_active</t>
  </si>
  <si>
    <t>ctrl_rpm_en</t>
  </si>
  <si>
    <t>g_present</t>
  </si>
  <si>
    <t>cyl1_ok</t>
  </si>
  <si>
    <t>ign_com_ok</t>
  </si>
  <si>
    <t>cal_rw</t>
  </si>
  <si>
    <t>watchdog</t>
  </si>
  <si>
    <t>reset</t>
  </si>
  <si>
    <t>iLoop_fault</t>
  </si>
  <si>
    <t>locked_out</t>
  </si>
  <si>
    <t>alarm</t>
  </si>
  <si>
    <t>window_inv</t>
  </si>
  <si>
    <t>sen1_ok</t>
  </si>
  <si>
    <t>sen2_ok</t>
  </si>
  <si>
    <t>sen3_ok</t>
  </si>
  <si>
    <t>sen4_ok</t>
  </si>
  <si>
    <t>sen5_ok</t>
  </si>
  <si>
    <t>sen6_ok</t>
  </si>
  <si>
    <t>sen7_ok</t>
  </si>
  <si>
    <t>sen8_ok</t>
  </si>
  <si>
    <t>sen9_ok</t>
  </si>
  <si>
    <t>sen10_ok</t>
  </si>
  <si>
    <t>sen11_ok</t>
  </si>
  <si>
    <t>sen12_ok</t>
  </si>
  <si>
    <t>sen13_ok</t>
  </si>
  <si>
    <t>sen14_ok</t>
  </si>
  <si>
    <t>sen15_ok</t>
  </si>
  <si>
    <t>sen16_ok</t>
  </si>
  <si>
    <t>Default Timing</t>
  </si>
  <si>
    <t>Supply Voltage</t>
  </si>
  <si>
    <t>Misfire Average</t>
  </si>
  <si>
    <t>Detonation Average</t>
  </si>
  <si>
    <t>Application CPU Utilization</t>
  </si>
  <si>
    <t>Detonation Flags</t>
  </si>
  <si>
    <t>dflt_timing</t>
  </si>
  <si>
    <t>voltage</t>
  </si>
  <si>
    <t>rpm</t>
  </si>
  <si>
    <t>mf_avg</t>
  </si>
  <si>
    <t>det_avg</t>
  </si>
  <si>
    <t>cpu_usage</t>
  </si>
  <si>
    <t>det_flags</t>
  </si>
  <si>
    <t>INT (Bits)</t>
  </si>
  <si>
    <t>Device Identity</t>
  </si>
  <si>
    <t>Device Status</t>
  </si>
  <si>
    <t>Device Version</t>
  </si>
  <si>
    <t>identity</t>
  </si>
  <si>
    <t>status</t>
  </si>
  <si>
    <t>version</t>
  </si>
  <si>
    <t>ARRAY2_75,DINT,SINT[15]</t>
  </si>
  <si>
    <t>ARRAY2_76, DINT,SINT[1]</t>
  </si>
  <si>
    <t>ARRAY2_77,DINT,SINT[2]</t>
  </si>
  <si>
    <t>FN17 (5-20)</t>
  </si>
  <si>
    <t>FN17 (2)</t>
  </si>
  <si>
    <t>FN17 (3-4)</t>
  </si>
  <si>
    <t>STRING,DINT,SINT[82]</t>
  </si>
  <si>
    <t>Cylinder Label</t>
  </si>
  <si>
    <t>Enabled</t>
  </si>
  <si>
    <t>Prescale</t>
  </si>
  <si>
    <t>Misfire Gain</t>
  </si>
  <si>
    <t>Misfire Bandpass</t>
  </si>
  <si>
    <t>Misfire Time</t>
  </si>
  <si>
    <t>Detonation Gain</t>
  </si>
  <si>
    <t>Detonation Bandpass</t>
  </si>
  <si>
    <t>Detonation Time</t>
  </si>
  <si>
    <t>Misfire Normalized Offset</t>
  </si>
  <si>
    <t>Detonation Normalized Offset</t>
  </si>
  <si>
    <t>Sensor Number</t>
  </si>
  <si>
    <t>UINT</t>
  </si>
  <si>
    <t>cyllabel</t>
  </si>
  <si>
    <t>enabled</t>
  </si>
  <si>
    <t>prescale</t>
  </si>
  <si>
    <t>mf_gain</t>
  </si>
  <si>
    <t>mf_bp</t>
  </si>
  <si>
    <t>mf_time</t>
  </si>
  <si>
    <t>det_gain</t>
  </si>
  <si>
    <t>det_bp</t>
  </si>
  <si>
    <t>det_time</t>
  </si>
  <si>
    <t>MFNormOfst</t>
  </si>
  <si>
    <t>DetNormOfst</t>
  </si>
  <si>
    <t>sensor_nmbr</t>
  </si>
  <si>
    <t>Misfire</t>
  </si>
  <si>
    <t>Detonation</t>
  </si>
  <si>
    <t>Retard Level</t>
  </si>
  <si>
    <t>mf_thresh</t>
  </si>
  <si>
    <t>det_thresh</t>
  </si>
  <si>
    <t>ret_level</t>
  </si>
  <si>
    <t>Misfire Detected</t>
  </si>
  <si>
    <t>mf_detect</t>
  </si>
  <si>
    <t>Detonation Detected</t>
  </si>
  <si>
    <t>det_detect</t>
  </si>
  <si>
    <t>Misfire Tripped</t>
  </si>
  <si>
    <t>mf_trip</t>
  </si>
  <si>
    <t>Detonation Tripped</t>
  </si>
  <si>
    <t>det_trip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</si>
  <si>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</si>
  <si>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</si>
  <si>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</si>
  <si>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</si>
  <si>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</si>
  <si>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</si>
  <si>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</si>
  <si>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</si>
  <si>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</si>
  <si>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</si>
  <si>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</si>
  <si>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</si>
  <si>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</si>
  <si>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</si>
  <si>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</si>
  <si>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1-16</t>
  </si>
  <si>
    <t>1-304</t>
  </si>
  <si>
    <t>305-382</t>
  </si>
  <si>
    <t>383-390</t>
  </si>
  <si>
    <t>391-557</t>
  </si>
  <si>
    <t>Number of Instances:</t>
  </si>
  <si>
    <t>Number of Attributes:</t>
  </si>
  <si>
    <t>Object Tag:</t>
  </si>
  <si>
    <t>fire_event</t>
  </si>
  <si>
    <t>Object ID:</t>
  </si>
  <si>
    <t>base</t>
  </si>
  <si>
    <t>engine</t>
  </si>
  <si>
    <t>commission</t>
  </si>
  <si>
    <t>DET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</si>
</sst>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right"/>
    </xf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horizontal="right"/>
    </xf>
    <xf numFmtId="16" fontId="0" fillId="0" borderId="0" xfId="0" quotePrefix="1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C3" sqref="C3"/>
    </sheetView>
  </sheetViews>
  <sheetFormatPr defaultRowHeight="15" x14ac:dyDescent="0.25"/>
  <cols>
    <col min="1" max="1" width="6" bestFit="1" customWidth="1"/>
    <col min="2" max="2" width="34.42578125" bestFit="1" customWidth="1"/>
    <col min="3" max="3" width="12.7109375" style="3" bestFit="1" customWidth="1"/>
    <col min="4" max="4" width="10.28515625" bestFit="1" customWidth="1"/>
    <col min="5" max="5" width="4.85546875" bestFit="1" customWidth="1"/>
    <col min="6" max="6" width="30.28515625" bestFit="1" customWidth="1"/>
    <col min="7" max="8" width="10.28515625" bestFit="1" customWidth="1"/>
    <col min="9" max="10" width="4.140625" bestFit="1" customWidth="1"/>
  </cols>
  <sheetData>
    <row r="1" spans="1:9" ht="18.75" x14ac:dyDescent="0.3">
      <c r="A1" s="18" t="s">
        <v>17</v>
      </c>
      <c r="B1" s="18"/>
      <c r="C1" s="18"/>
      <c r="F1" s="10" t="s">
        <v>8</v>
      </c>
      <c r="H1" t="s">
        <v>0</v>
      </c>
      <c r="I1">
        <v>60</v>
      </c>
    </row>
    <row r="2" spans="1:9" s="6" customFormat="1" x14ac:dyDescent="0.25">
      <c r="A2" s="6" t="s">
        <v>10</v>
      </c>
      <c r="B2" s="6" t="s">
        <v>4</v>
      </c>
      <c r="C2" s="6" t="s">
        <v>705</v>
      </c>
      <c r="E2" s="6" t="s">
        <v>6</v>
      </c>
      <c r="F2" s="11" t="s">
        <v>69</v>
      </c>
      <c r="H2" t="s">
        <v>1</v>
      </c>
      <c r="I2" t="s">
        <v>2</v>
      </c>
    </row>
    <row r="3" spans="1:9" x14ac:dyDescent="0.25">
      <c r="A3">
        <v>0</v>
      </c>
      <c r="B3" t="s">
        <v>18</v>
      </c>
      <c r="C3" s="3">
        <v>30015</v>
      </c>
      <c r="E3">
        <v>0</v>
      </c>
      <c r="F3" t="s">
        <v>71</v>
      </c>
      <c r="H3" s="7" t="s">
        <v>3</v>
      </c>
      <c r="I3" s="7">
        <v>100</v>
      </c>
    </row>
    <row r="4" spans="1:9" x14ac:dyDescent="0.25">
      <c r="A4">
        <v>1</v>
      </c>
      <c r="B4" t="s">
        <v>19</v>
      </c>
      <c r="C4" s="3">
        <v>30016</v>
      </c>
      <c r="E4">
        <v>1</v>
      </c>
      <c r="F4" t="s">
        <v>72</v>
      </c>
    </row>
    <row r="5" spans="1:9" x14ac:dyDescent="0.25">
      <c r="A5">
        <v>2</v>
      </c>
      <c r="B5" t="s">
        <v>20</v>
      </c>
      <c r="C5" s="3">
        <v>30017</v>
      </c>
      <c r="E5">
        <v>2</v>
      </c>
      <c r="F5" t="s">
        <v>73</v>
      </c>
    </row>
    <row r="6" spans="1:9" x14ac:dyDescent="0.25">
      <c r="A6">
        <v>3</v>
      </c>
      <c r="B6" t="s">
        <v>21</v>
      </c>
      <c r="C6" s="3">
        <v>30018</v>
      </c>
      <c r="E6">
        <v>3</v>
      </c>
      <c r="F6" t="s">
        <v>74</v>
      </c>
    </row>
    <row r="7" spans="1:9" x14ac:dyDescent="0.25">
      <c r="A7">
        <v>4</v>
      </c>
      <c r="B7" t="s">
        <v>22</v>
      </c>
      <c r="C7" s="3">
        <v>30019</v>
      </c>
      <c r="E7">
        <v>4</v>
      </c>
      <c r="F7" t="s">
        <v>75</v>
      </c>
    </row>
    <row r="8" spans="1:9" x14ac:dyDescent="0.25">
      <c r="A8">
        <v>5</v>
      </c>
      <c r="B8" t="s">
        <v>23</v>
      </c>
      <c r="C8" s="3">
        <v>30020</v>
      </c>
      <c r="E8">
        <v>5</v>
      </c>
      <c r="F8" t="s">
        <v>76</v>
      </c>
    </row>
    <row r="9" spans="1:9" x14ac:dyDescent="0.25">
      <c r="A9">
        <v>6</v>
      </c>
      <c r="B9" t="s">
        <v>24</v>
      </c>
      <c r="C9" s="3">
        <v>30021</v>
      </c>
      <c r="E9">
        <v>6</v>
      </c>
      <c r="F9" t="s">
        <v>77</v>
      </c>
    </row>
    <row r="10" spans="1:9" x14ac:dyDescent="0.25">
      <c r="A10">
        <v>7</v>
      </c>
      <c r="B10" t="s">
        <v>25</v>
      </c>
      <c r="C10" s="3">
        <v>30022</v>
      </c>
      <c r="E10">
        <v>7</v>
      </c>
      <c r="F10" t="s">
        <v>78</v>
      </c>
    </row>
    <row r="11" spans="1:9" x14ac:dyDescent="0.25">
      <c r="A11">
        <v>8</v>
      </c>
      <c r="B11" t="s">
        <v>26</v>
      </c>
      <c r="C11" s="3">
        <v>30023</v>
      </c>
      <c r="E11">
        <v>8</v>
      </c>
      <c r="F11" t="s">
        <v>79</v>
      </c>
    </row>
    <row r="12" spans="1:9" x14ac:dyDescent="0.25">
      <c r="A12">
        <v>9</v>
      </c>
      <c r="B12" t="s">
        <v>27</v>
      </c>
      <c r="C12" s="3">
        <v>30024</v>
      </c>
      <c r="E12">
        <v>9</v>
      </c>
      <c r="F12" t="s">
        <v>80</v>
      </c>
    </row>
    <row r="13" spans="1:9" x14ac:dyDescent="0.25">
      <c r="A13">
        <v>10</v>
      </c>
      <c r="B13" t="s">
        <v>28</v>
      </c>
      <c r="C13" s="3">
        <v>30025</v>
      </c>
      <c r="E13">
        <v>10</v>
      </c>
      <c r="F13" t="s">
        <v>81</v>
      </c>
    </row>
    <row r="14" spans="1:9" x14ac:dyDescent="0.25">
      <c r="A14">
        <v>11</v>
      </c>
      <c r="B14" t="s">
        <v>29</v>
      </c>
      <c r="C14" s="3">
        <v>30026</v>
      </c>
      <c r="E14">
        <v>11</v>
      </c>
      <c r="F14" t="s">
        <v>82</v>
      </c>
    </row>
    <row r="15" spans="1:9" x14ac:dyDescent="0.25">
      <c r="A15">
        <v>12</v>
      </c>
      <c r="B15" t="s">
        <v>30</v>
      </c>
      <c r="C15" s="3">
        <v>30027</v>
      </c>
      <c r="E15">
        <v>12</v>
      </c>
      <c r="F15" t="s">
        <v>83</v>
      </c>
    </row>
    <row r="16" spans="1:9" x14ac:dyDescent="0.25">
      <c r="A16">
        <v>13</v>
      </c>
      <c r="B16" t="s">
        <v>31</v>
      </c>
      <c r="C16" s="3">
        <v>30028</v>
      </c>
      <c r="E16">
        <v>13</v>
      </c>
      <c r="F16" t="s">
        <v>84</v>
      </c>
    </row>
    <row r="17" spans="1:6" x14ac:dyDescent="0.25">
      <c r="A17">
        <v>14</v>
      </c>
      <c r="B17" t="s">
        <v>32</v>
      </c>
      <c r="C17" s="3">
        <v>30029</v>
      </c>
      <c r="E17">
        <v>14</v>
      </c>
      <c r="F17" t="s">
        <v>85</v>
      </c>
    </row>
    <row r="18" spans="1:6" x14ac:dyDescent="0.25">
      <c r="A18">
        <v>15</v>
      </c>
      <c r="B18" t="s">
        <v>33</v>
      </c>
      <c r="C18" s="3">
        <v>30030</v>
      </c>
      <c r="E18">
        <v>15</v>
      </c>
      <c r="F18" t="s">
        <v>7</v>
      </c>
    </row>
    <row r="19" spans="1:6" x14ac:dyDescent="0.25">
      <c r="A19">
        <v>16</v>
      </c>
      <c r="B19" s="9" t="s">
        <v>34</v>
      </c>
      <c r="C19" s="3">
        <v>30031</v>
      </c>
    </row>
    <row r="20" spans="1:6" x14ac:dyDescent="0.25">
      <c r="A20">
        <v>17</v>
      </c>
      <c r="B20" s="9" t="s">
        <v>35</v>
      </c>
      <c r="C20" s="3">
        <v>30032</v>
      </c>
    </row>
    <row r="21" spans="1:6" x14ac:dyDescent="0.25">
      <c r="A21">
        <v>18</v>
      </c>
      <c r="B21" s="9" t="s">
        <v>36</v>
      </c>
      <c r="C21" s="3">
        <v>30033</v>
      </c>
    </row>
    <row r="22" spans="1:6" x14ac:dyDescent="0.25">
      <c r="A22">
        <v>19</v>
      </c>
      <c r="B22" s="9" t="s">
        <v>37</v>
      </c>
      <c r="C22" s="3">
        <v>30034</v>
      </c>
    </row>
    <row r="23" spans="1:6" x14ac:dyDescent="0.25">
      <c r="A23">
        <v>20</v>
      </c>
      <c r="B23" s="9" t="s">
        <v>38</v>
      </c>
      <c r="C23" s="3">
        <v>30035</v>
      </c>
    </row>
    <row r="24" spans="1:6" x14ac:dyDescent="0.25">
      <c r="A24">
        <v>21</v>
      </c>
      <c r="B24" s="9" t="s">
        <v>39</v>
      </c>
      <c r="C24" s="3">
        <v>30036</v>
      </c>
    </row>
    <row r="25" spans="1:6" x14ac:dyDescent="0.25">
      <c r="A25">
        <v>22</v>
      </c>
      <c r="B25" s="9" t="s">
        <v>40</v>
      </c>
      <c r="C25" s="3">
        <v>30037</v>
      </c>
    </row>
    <row r="26" spans="1:6" x14ac:dyDescent="0.25">
      <c r="A26">
        <v>23</v>
      </c>
      <c r="B26" s="9" t="s">
        <v>41</v>
      </c>
      <c r="C26" s="3">
        <v>30038</v>
      </c>
    </row>
    <row r="27" spans="1:6" x14ac:dyDescent="0.25">
      <c r="A27">
        <v>24</v>
      </c>
      <c r="B27" s="9" t="s">
        <v>42</v>
      </c>
      <c r="C27" s="3">
        <v>30039</v>
      </c>
    </row>
    <row r="28" spans="1:6" x14ac:dyDescent="0.25">
      <c r="A28">
        <v>25</v>
      </c>
      <c r="B28" s="9" t="s">
        <v>43</v>
      </c>
      <c r="C28" s="3">
        <v>30040</v>
      </c>
    </row>
    <row r="29" spans="1:6" x14ac:dyDescent="0.25">
      <c r="A29">
        <v>26</v>
      </c>
      <c r="B29" s="9" t="s">
        <v>44</v>
      </c>
      <c r="C29" s="3">
        <v>30041</v>
      </c>
    </row>
    <row r="30" spans="1:6" x14ac:dyDescent="0.25">
      <c r="A30">
        <v>27</v>
      </c>
      <c r="B30" s="9" t="s">
        <v>45</v>
      </c>
      <c r="C30" s="3">
        <v>30042</v>
      </c>
    </row>
    <row r="31" spans="1:6" x14ac:dyDescent="0.25">
      <c r="A31">
        <v>28</v>
      </c>
      <c r="B31" s="9" t="s">
        <v>46</v>
      </c>
      <c r="C31" s="3">
        <v>30043</v>
      </c>
    </row>
    <row r="32" spans="1:6" x14ac:dyDescent="0.25">
      <c r="A32">
        <v>29</v>
      </c>
      <c r="B32" s="9" t="s">
        <v>47</v>
      </c>
      <c r="C32" s="3">
        <v>30044</v>
      </c>
    </row>
    <row r="33" spans="1:3" x14ac:dyDescent="0.25">
      <c r="A33">
        <v>30</v>
      </c>
      <c r="B33" s="9" t="s">
        <v>48</v>
      </c>
      <c r="C33" s="3">
        <v>30045</v>
      </c>
    </row>
    <row r="34" spans="1:3" x14ac:dyDescent="0.25">
      <c r="A34">
        <v>31</v>
      </c>
      <c r="B34" s="9" t="s">
        <v>49</v>
      </c>
      <c r="C34" s="3">
        <v>30046</v>
      </c>
    </row>
    <row r="35" spans="1:3" x14ac:dyDescent="0.25">
      <c r="A35">
        <v>32</v>
      </c>
      <c r="B35" s="9" t="s">
        <v>50</v>
      </c>
      <c r="C35" s="3">
        <v>30047</v>
      </c>
    </row>
    <row r="36" spans="1:3" x14ac:dyDescent="0.25">
      <c r="A36">
        <v>33</v>
      </c>
      <c r="B36" s="9" t="s">
        <v>51</v>
      </c>
      <c r="C36" s="3">
        <v>30048</v>
      </c>
    </row>
    <row r="37" spans="1:3" x14ac:dyDescent="0.25">
      <c r="A37">
        <v>34</v>
      </c>
      <c r="B37" s="9" t="s">
        <v>52</v>
      </c>
      <c r="C37" s="3">
        <v>30049</v>
      </c>
    </row>
    <row r="38" spans="1:3" x14ac:dyDescent="0.25">
      <c r="A38">
        <v>35</v>
      </c>
      <c r="B38" s="9" t="s">
        <v>53</v>
      </c>
      <c r="C38" s="3">
        <v>30050</v>
      </c>
    </row>
    <row r="39" spans="1:3" x14ac:dyDescent="0.25">
      <c r="A39">
        <v>36</v>
      </c>
      <c r="B39" s="9" t="s">
        <v>54</v>
      </c>
      <c r="C39" s="3">
        <v>30051</v>
      </c>
    </row>
    <row r="40" spans="1:3" x14ac:dyDescent="0.25">
      <c r="A40">
        <v>37</v>
      </c>
      <c r="B40" s="9" t="s">
        <v>55</v>
      </c>
      <c r="C40" s="3">
        <v>30052</v>
      </c>
    </row>
    <row r="41" spans="1:3" x14ac:dyDescent="0.25">
      <c r="A41">
        <v>38</v>
      </c>
      <c r="B41" s="9" t="s">
        <v>56</v>
      </c>
      <c r="C41" s="3">
        <v>30053</v>
      </c>
    </row>
    <row r="42" spans="1:3" x14ac:dyDescent="0.25">
      <c r="A42">
        <v>39</v>
      </c>
      <c r="B42" s="9" t="s">
        <v>57</v>
      </c>
      <c r="C42" s="3">
        <v>30054</v>
      </c>
    </row>
    <row r="43" spans="1:3" x14ac:dyDescent="0.25">
      <c r="A43">
        <v>40</v>
      </c>
      <c r="B43" s="9" t="s">
        <v>58</v>
      </c>
      <c r="C43" s="3">
        <v>30055</v>
      </c>
    </row>
    <row r="44" spans="1:3" x14ac:dyDescent="0.25">
      <c r="A44">
        <v>41</v>
      </c>
      <c r="B44" s="9" t="s">
        <v>59</v>
      </c>
      <c r="C44" s="3">
        <v>30056</v>
      </c>
    </row>
    <row r="45" spans="1:3" x14ac:dyDescent="0.25">
      <c r="A45">
        <v>42</v>
      </c>
      <c r="B45" s="9" t="s">
        <v>60</v>
      </c>
      <c r="C45" s="3">
        <v>30057</v>
      </c>
    </row>
    <row r="46" spans="1:3" x14ac:dyDescent="0.25">
      <c r="A46">
        <v>43</v>
      </c>
      <c r="B46" s="9" t="s">
        <v>61</v>
      </c>
      <c r="C46" s="3">
        <v>30058</v>
      </c>
    </row>
    <row r="47" spans="1:3" x14ac:dyDescent="0.25">
      <c r="A47">
        <v>44</v>
      </c>
      <c r="B47" s="9" t="s">
        <v>62</v>
      </c>
      <c r="C47" s="3">
        <v>30059</v>
      </c>
    </row>
    <row r="48" spans="1:3" x14ac:dyDescent="0.25">
      <c r="A48">
        <v>45</v>
      </c>
      <c r="B48" s="9" t="s">
        <v>63</v>
      </c>
      <c r="C48" s="3">
        <v>30060</v>
      </c>
    </row>
    <row r="49" spans="1:3" x14ac:dyDescent="0.25">
      <c r="A49">
        <v>46</v>
      </c>
      <c r="B49" s="9" t="s">
        <v>64</v>
      </c>
      <c r="C49" s="3">
        <v>30061</v>
      </c>
    </row>
    <row r="50" spans="1:3" x14ac:dyDescent="0.25">
      <c r="A50">
        <v>47</v>
      </c>
      <c r="B50" s="9" t="s">
        <v>65</v>
      </c>
      <c r="C50" s="3">
        <v>30062</v>
      </c>
    </row>
    <row r="51" spans="1:3" x14ac:dyDescent="0.25">
      <c r="A51">
        <v>48</v>
      </c>
      <c r="B51" s="9" t="s">
        <v>86</v>
      </c>
      <c r="C51" s="3">
        <v>30063</v>
      </c>
    </row>
    <row r="52" spans="1:3" x14ac:dyDescent="0.25">
      <c r="A52">
        <v>49</v>
      </c>
      <c r="B52" s="9" t="s">
        <v>66</v>
      </c>
      <c r="C52" s="3">
        <v>30011</v>
      </c>
    </row>
    <row r="53" spans="1:3" x14ac:dyDescent="0.25">
      <c r="A53">
        <v>50</v>
      </c>
      <c r="B53" s="9" t="s">
        <v>67</v>
      </c>
      <c r="C53" s="3">
        <v>30012</v>
      </c>
    </row>
    <row r="54" spans="1:3" x14ac:dyDescent="0.25">
      <c r="A54">
        <v>51</v>
      </c>
      <c r="B54" s="9" t="s">
        <v>68</v>
      </c>
      <c r="C54" s="3">
        <v>30013</v>
      </c>
    </row>
    <row r="55" spans="1:3" x14ac:dyDescent="0.25">
      <c r="A55">
        <v>52</v>
      </c>
      <c r="B55" s="9" t="s">
        <v>69</v>
      </c>
      <c r="C55" s="4">
        <v>10001</v>
      </c>
    </row>
    <row r="56" spans="1:3" x14ac:dyDescent="0.25">
      <c r="A56">
        <v>53</v>
      </c>
      <c r="B56" s="9" t="s">
        <v>87</v>
      </c>
      <c r="C56" s="4">
        <f t="shared" ref="C56:C61" si="0">C55+16</f>
        <v>10017</v>
      </c>
    </row>
    <row r="57" spans="1:3" x14ac:dyDescent="0.25">
      <c r="A57">
        <v>54</v>
      </c>
      <c r="B57" s="9" t="s">
        <v>88</v>
      </c>
      <c r="C57" s="4">
        <f t="shared" si="0"/>
        <v>10033</v>
      </c>
    </row>
    <row r="58" spans="1:3" x14ac:dyDescent="0.25">
      <c r="A58">
        <v>55</v>
      </c>
      <c r="B58" s="9" t="s">
        <v>89</v>
      </c>
      <c r="C58" s="4">
        <f t="shared" si="0"/>
        <v>10049</v>
      </c>
    </row>
    <row r="59" spans="1:3" x14ac:dyDescent="0.25">
      <c r="A59">
        <v>56</v>
      </c>
      <c r="B59" s="9" t="s">
        <v>90</v>
      </c>
      <c r="C59" s="4">
        <f t="shared" si="0"/>
        <v>10065</v>
      </c>
    </row>
    <row r="60" spans="1:3" x14ac:dyDescent="0.25">
      <c r="A60">
        <v>57</v>
      </c>
      <c r="B60" s="9" t="s">
        <v>91</v>
      </c>
      <c r="C60" s="4">
        <f t="shared" si="0"/>
        <v>10081</v>
      </c>
    </row>
    <row r="61" spans="1:3" x14ac:dyDescent="0.25">
      <c r="A61">
        <v>58</v>
      </c>
      <c r="B61" s="9" t="s">
        <v>92</v>
      </c>
      <c r="C61" s="4">
        <f t="shared" si="0"/>
        <v>10097</v>
      </c>
    </row>
    <row r="62" spans="1:3" x14ac:dyDescent="0.25">
      <c r="A62">
        <v>59</v>
      </c>
      <c r="B62" s="9" t="s">
        <v>70</v>
      </c>
      <c r="C62" s="4" t="s">
        <v>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C3" sqref="C3"/>
    </sheetView>
  </sheetViews>
  <sheetFormatPr defaultRowHeight="15" x14ac:dyDescent="0.25"/>
  <cols>
    <col min="1" max="1" width="6" bestFit="1" customWidth="1"/>
    <col min="2" max="2" width="24.28515625" bestFit="1" customWidth="1"/>
    <col min="3" max="3" width="12.7109375" style="3" bestFit="1" customWidth="1"/>
    <col min="4" max="6" width="12.7109375" style="3" customWidth="1"/>
    <col min="7" max="7" width="10.28515625" bestFit="1" customWidth="1"/>
    <col min="9" max="9" width="29" bestFit="1" customWidth="1"/>
    <col min="10" max="11" width="10.28515625" bestFit="1" customWidth="1"/>
    <col min="12" max="13" width="4.140625" bestFit="1" customWidth="1"/>
  </cols>
  <sheetData>
    <row r="1" spans="1:12" ht="18.75" x14ac:dyDescent="0.3">
      <c r="A1" s="18" t="s">
        <v>136</v>
      </c>
      <c r="B1" s="18"/>
      <c r="C1" s="18"/>
      <c r="D1" s="18"/>
      <c r="E1" s="18"/>
      <c r="F1" s="18"/>
      <c r="I1" s="8" t="s">
        <v>8</v>
      </c>
      <c r="K1" t="s">
        <v>0</v>
      </c>
      <c r="L1">
        <v>13</v>
      </c>
    </row>
    <row r="2" spans="1:12" s="6" customFormat="1" x14ac:dyDescent="0.25">
      <c r="A2" s="6" t="s">
        <v>10</v>
      </c>
      <c r="B2" s="6" t="s">
        <v>4</v>
      </c>
      <c r="C2" s="6" t="s">
        <v>705</v>
      </c>
      <c r="D2" s="6" t="s">
        <v>11</v>
      </c>
      <c r="E2" s="6" t="s">
        <v>12</v>
      </c>
      <c r="F2" s="6" t="s">
        <v>14</v>
      </c>
      <c r="H2" s="6" t="s">
        <v>6</v>
      </c>
      <c r="I2" s="6" t="s">
        <v>93</v>
      </c>
      <c r="K2" t="s">
        <v>1</v>
      </c>
      <c r="L2" t="s">
        <v>2</v>
      </c>
    </row>
    <row r="3" spans="1:12" x14ac:dyDescent="0.25">
      <c r="A3">
        <v>0</v>
      </c>
      <c r="B3" t="s">
        <v>93</v>
      </c>
      <c r="C3" s="12" t="s">
        <v>94</v>
      </c>
      <c r="H3">
        <v>0</v>
      </c>
      <c r="I3" t="s">
        <v>7</v>
      </c>
      <c r="K3" s="7" t="s">
        <v>3</v>
      </c>
      <c r="L3" s="7">
        <v>101</v>
      </c>
    </row>
    <row r="4" spans="1:12" x14ac:dyDescent="0.25">
      <c r="A4">
        <v>1</v>
      </c>
      <c r="B4" t="s">
        <v>95</v>
      </c>
      <c r="C4" s="3">
        <v>40013</v>
      </c>
      <c r="D4" s="3">
        <v>0</v>
      </c>
      <c r="E4" s="3">
        <v>255</v>
      </c>
      <c r="F4" s="3">
        <v>240</v>
      </c>
      <c r="H4">
        <v>1</v>
      </c>
      <c r="I4" t="s">
        <v>106</v>
      </c>
    </row>
    <row r="5" spans="1:12" x14ac:dyDescent="0.25">
      <c r="A5">
        <v>2</v>
      </c>
      <c r="B5" t="s">
        <v>96</v>
      </c>
      <c r="C5" s="3">
        <v>40016</v>
      </c>
      <c r="D5" s="3">
        <v>0</v>
      </c>
      <c r="E5" s="3">
        <v>255</v>
      </c>
      <c r="F5" s="3">
        <v>240</v>
      </c>
      <c r="H5">
        <v>2</v>
      </c>
      <c r="I5" t="s">
        <v>7</v>
      </c>
    </row>
    <row r="6" spans="1:12" x14ac:dyDescent="0.25">
      <c r="A6">
        <v>3</v>
      </c>
      <c r="B6" t="s">
        <v>97</v>
      </c>
      <c r="C6" s="3">
        <v>40023</v>
      </c>
      <c r="D6" s="3">
        <v>0</v>
      </c>
      <c r="E6" s="3">
        <v>1023</v>
      </c>
      <c r="F6" s="3">
        <v>300</v>
      </c>
      <c r="H6">
        <v>3</v>
      </c>
      <c r="I6" t="s">
        <v>7</v>
      </c>
    </row>
    <row r="7" spans="1:12" x14ac:dyDescent="0.25">
      <c r="A7">
        <v>4</v>
      </c>
      <c r="B7" t="s">
        <v>98</v>
      </c>
      <c r="C7" s="3">
        <v>40024</v>
      </c>
      <c r="D7" s="3">
        <v>0</v>
      </c>
      <c r="E7" s="3">
        <v>999</v>
      </c>
      <c r="F7" s="3">
        <v>3</v>
      </c>
      <c r="H7">
        <v>4</v>
      </c>
      <c r="I7" t="s">
        <v>7</v>
      </c>
    </row>
    <row r="8" spans="1:12" x14ac:dyDescent="0.25">
      <c r="A8">
        <v>5</v>
      </c>
      <c r="B8" t="s">
        <v>99</v>
      </c>
      <c r="C8" s="3">
        <v>40025</v>
      </c>
      <c r="D8" s="3">
        <v>0</v>
      </c>
      <c r="E8" s="3">
        <v>1024</v>
      </c>
      <c r="F8" s="3">
        <v>800</v>
      </c>
      <c r="H8">
        <v>5</v>
      </c>
      <c r="I8" t="s">
        <v>107</v>
      </c>
    </row>
    <row r="9" spans="1:12" x14ac:dyDescent="0.25">
      <c r="A9">
        <v>6</v>
      </c>
      <c r="B9" t="s">
        <v>100</v>
      </c>
      <c r="C9" s="3">
        <v>40026</v>
      </c>
      <c r="D9" s="3">
        <v>0</v>
      </c>
      <c r="E9" s="3">
        <v>999</v>
      </c>
      <c r="F9" s="3">
        <v>3</v>
      </c>
      <c r="H9">
        <v>6</v>
      </c>
      <c r="I9" t="s">
        <v>7</v>
      </c>
    </row>
    <row r="10" spans="1:12" x14ac:dyDescent="0.25">
      <c r="A10">
        <v>7</v>
      </c>
      <c r="B10" t="s">
        <v>101</v>
      </c>
      <c r="C10" s="3">
        <v>40036</v>
      </c>
      <c r="D10" s="3">
        <v>0</v>
      </c>
      <c r="E10" s="3">
        <v>99</v>
      </c>
      <c r="F10" s="3">
        <v>2</v>
      </c>
      <c r="H10">
        <v>7</v>
      </c>
      <c r="I10" t="s">
        <v>108</v>
      </c>
    </row>
    <row r="11" spans="1:12" x14ac:dyDescent="0.25">
      <c r="A11">
        <v>8</v>
      </c>
      <c r="B11" t="s">
        <v>102</v>
      </c>
      <c r="C11" s="3">
        <v>40037</v>
      </c>
      <c r="D11" s="3">
        <v>0</v>
      </c>
      <c r="E11" s="3">
        <v>99</v>
      </c>
      <c r="F11" s="3">
        <v>10</v>
      </c>
      <c r="H11">
        <v>8</v>
      </c>
      <c r="I11" t="s">
        <v>112</v>
      </c>
    </row>
    <row r="12" spans="1:12" x14ac:dyDescent="0.25">
      <c r="A12">
        <v>9</v>
      </c>
      <c r="B12" t="s">
        <v>103</v>
      </c>
      <c r="C12" s="3">
        <v>40038</v>
      </c>
      <c r="D12" s="3">
        <v>500</v>
      </c>
      <c r="E12" s="3">
        <v>1024</v>
      </c>
      <c r="F12" s="3">
        <v>1024</v>
      </c>
      <c r="H12">
        <v>9</v>
      </c>
      <c r="I12" t="s">
        <v>109</v>
      </c>
    </row>
    <row r="13" spans="1:12" x14ac:dyDescent="0.25">
      <c r="A13">
        <v>10</v>
      </c>
      <c r="B13" t="s">
        <v>104</v>
      </c>
      <c r="C13" s="3">
        <v>40040</v>
      </c>
      <c r="D13" s="3">
        <v>0</v>
      </c>
      <c r="E13" s="3">
        <v>1023</v>
      </c>
      <c r="F13" s="3">
        <v>50</v>
      </c>
      <c r="H13">
        <v>10</v>
      </c>
      <c r="I13" t="s">
        <v>110</v>
      </c>
    </row>
    <row r="14" spans="1:12" x14ac:dyDescent="0.25">
      <c r="A14">
        <v>11</v>
      </c>
      <c r="B14" t="s">
        <v>105</v>
      </c>
      <c r="C14" s="3">
        <v>40045</v>
      </c>
      <c r="D14" s="3">
        <v>-360</v>
      </c>
      <c r="E14" s="3">
        <v>360</v>
      </c>
      <c r="F14" s="3">
        <v>0</v>
      </c>
      <c r="H14">
        <v>11</v>
      </c>
      <c r="I14" t="s">
        <v>7</v>
      </c>
    </row>
    <row r="15" spans="1:12" x14ac:dyDescent="0.25">
      <c r="A15">
        <v>12</v>
      </c>
      <c r="B15" s="9" t="s">
        <v>13</v>
      </c>
      <c r="C15" s="4" t="s">
        <v>9</v>
      </c>
      <c r="D15" s="3">
        <v>-32767</v>
      </c>
      <c r="E15" s="3">
        <v>32767</v>
      </c>
      <c r="F15" s="3">
        <v>0</v>
      </c>
      <c r="H15">
        <v>12</v>
      </c>
      <c r="I15" t="s">
        <v>111</v>
      </c>
    </row>
    <row r="16" spans="1:12" x14ac:dyDescent="0.25">
      <c r="H16">
        <v>13</v>
      </c>
      <c r="I16" t="s">
        <v>113</v>
      </c>
    </row>
    <row r="17" spans="2:9" x14ac:dyDescent="0.25">
      <c r="H17">
        <v>14</v>
      </c>
      <c r="I17" t="s">
        <v>7</v>
      </c>
    </row>
    <row r="18" spans="2:9" x14ac:dyDescent="0.25">
      <c r="H18">
        <v>15</v>
      </c>
      <c r="I18" t="s">
        <v>114</v>
      </c>
    </row>
    <row r="20" spans="2:9" x14ac:dyDescent="0.25">
      <c r="B20" s="9"/>
      <c r="C20" s="4"/>
      <c r="D20" s="4"/>
      <c r="E20" s="4"/>
      <c r="F20" s="4"/>
    </row>
    <row r="21" spans="2:9" x14ac:dyDescent="0.25">
      <c r="B21" s="9"/>
      <c r="C21" s="4"/>
      <c r="D21" s="4"/>
      <c r="E21" s="4"/>
      <c r="F21" s="4"/>
    </row>
    <row r="22" spans="2:9" x14ac:dyDescent="0.25">
      <c r="C22" s="4"/>
      <c r="D22" s="4"/>
      <c r="E22" s="4"/>
      <c r="F22" s="4"/>
    </row>
    <row r="23" spans="2:9" x14ac:dyDescent="0.25">
      <c r="C23" s="4"/>
      <c r="D23" s="4"/>
      <c r="E23" s="4"/>
      <c r="F23" s="4"/>
    </row>
    <row r="24" spans="2:9" x14ac:dyDescent="0.25">
      <c r="C24" s="4"/>
      <c r="D24" s="4"/>
      <c r="E24" s="4"/>
      <c r="F24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C17" sqref="C17:C18"/>
    </sheetView>
  </sheetViews>
  <sheetFormatPr defaultRowHeight="15" x14ac:dyDescent="0.25"/>
  <cols>
    <col min="1" max="1" width="6" bestFit="1" customWidth="1"/>
    <col min="2" max="2" width="26.28515625" bestFit="1" customWidth="1"/>
    <col min="3" max="3" width="12.7109375" style="3" bestFit="1" customWidth="1"/>
    <col min="4" max="6" width="12.7109375" style="3" customWidth="1"/>
    <col min="7" max="7" width="10.28515625" bestFit="1" customWidth="1"/>
    <col min="8" max="8" width="4.85546875" bestFit="1" customWidth="1"/>
    <col min="9" max="9" width="30" bestFit="1" customWidth="1"/>
    <col min="10" max="11" width="10.28515625" bestFit="1" customWidth="1"/>
    <col min="12" max="12" width="5" bestFit="1" customWidth="1"/>
    <col min="13" max="13" width="4.140625" bestFit="1" customWidth="1"/>
  </cols>
  <sheetData>
    <row r="1" spans="1:12" ht="18.75" x14ac:dyDescent="0.3">
      <c r="A1" s="18" t="s">
        <v>137</v>
      </c>
      <c r="B1" s="18"/>
      <c r="C1" s="18"/>
      <c r="D1" s="8"/>
      <c r="E1" s="8"/>
      <c r="F1" s="8"/>
      <c r="I1" s="8" t="s">
        <v>8</v>
      </c>
      <c r="K1" t="s">
        <v>0</v>
      </c>
      <c r="L1">
        <f>17*2</f>
        <v>34</v>
      </c>
    </row>
    <row r="2" spans="1:12" s="6" customFormat="1" x14ac:dyDescent="0.25">
      <c r="A2" s="6" t="s">
        <v>10</v>
      </c>
      <c r="B2" s="6" t="s">
        <v>4</v>
      </c>
      <c r="C2" s="6" t="s">
        <v>705</v>
      </c>
      <c r="D2" s="6" t="s">
        <v>11</v>
      </c>
      <c r="E2" s="6" t="s">
        <v>12</v>
      </c>
      <c r="F2" s="6" t="s">
        <v>14</v>
      </c>
      <c r="H2" s="6" t="s">
        <v>6</v>
      </c>
      <c r="I2" s="6" t="s">
        <v>134</v>
      </c>
      <c r="K2" t="s">
        <v>1</v>
      </c>
      <c r="L2" t="s">
        <v>15</v>
      </c>
    </row>
    <row r="3" spans="1:12" x14ac:dyDescent="0.25">
      <c r="A3">
        <v>0</v>
      </c>
      <c r="B3" s="19" t="s">
        <v>7</v>
      </c>
      <c r="C3" s="19" t="s">
        <v>9</v>
      </c>
      <c r="D3" s="19">
        <v>-32767</v>
      </c>
      <c r="E3" s="19">
        <v>32767</v>
      </c>
      <c r="F3" s="19">
        <v>0</v>
      </c>
      <c r="H3">
        <v>0</v>
      </c>
      <c r="I3" t="s">
        <v>138</v>
      </c>
      <c r="K3" s="7" t="s">
        <v>3</v>
      </c>
      <c r="L3" s="7">
        <v>102</v>
      </c>
    </row>
    <row r="4" spans="1:12" x14ac:dyDescent="0.25">
      <c r="A4">
        <v>1</v>
      </c>
      <c r="B4" s="19"/>
      <c r="C4" s="19"/>
      <c r="D4" s="19"/>
      <c r="E4" s="19"/>
      <c r="F4" s="19"/>
      <c r="H4">
        <v>1</v>
      </c>
      <c r="I4" t="s">
        <v>139</v>
      </c>
    </row>
    <row r="5" spans="1:12" x14ac:dyDescent="0.25">
      <c r="A5">
        <v>2</v>
      </c>
      <c r="B5" s="19" t="s">
        <v>115</v>
      </c>
      <c r="C5" s="21" t="s">
        <v>116</v>
      </c>
      <c r="D5" s="19"/>
      <c r="E5" s="19"/>
      <c r="F5" s="19"/>
      <c r="H5">
        <v>2</v>
      </c>
      <c r="I5" t="s">
        <v>7</v>
      </c>
    </row>
    <row r="6" spans="1:12" x14ac:dyDescent="0.25">
      <c r="A6">
        <v>3</v>
      </c>
      <c r="B6" s="19"/>
      <c r="C6" s="19"/>
      <c r="D6" s="19"/>
      <c r="E6" s="19"/>
      <c r="F6" s="19"/>
      <c r="H6">
        <v>3</v>
      </c>
      <c r="I6" t="s">
        <v>7</v>
      </c>
    </row>
    <row r="7" spans="1:12" x14ac:dyDescent="0.25">
      <c r="A7">
        <v>4</v>
      </c>
      <c r="B7" s="19" t="s">
        <v>117</v>
      </c>
      <c r="C7" s="19">
        <v>40013</v>
      </c>
      <c r="D7" s="19">
        <v>1</v>
      </c>
      <c r="E7" s="19">
        <v>16</v>
      </c>
      <c r="F7" s="19"/>
      <c r="H7">
        <v>4</v>
      </c>
      <c r="I7" t="s">
        <v>7</v>
      </c>
    </row>
    <row r="8" spans="1:12" x14ac:dyDescent="0.25">
      <c r="A8">
        <v>5</v>
      </c>
      <c r="B8" s="19"/>
      <c r="C8" s="19"/>
      <c r="D8" s="19"/>
      <c r="E8" s="19"/>
      <c r="F8" s="19"/>
      <c r="H8">
        <v>5</v>
      </c>
      <c r="I8" t="s">
        <v>7</v>
      </c>
    </row>
    <row r="9" spans="1:12" x14ac:dyDescent="0.25">
      <c r="A9">
        <v>6</v>
      </c>
      <c r="B9" s="19" t="s">
        <v>118</v>
      </c>
      <c r="C9" s="19">
        <v>40015</v>
      </c>
      <c r="D9" s="19">
        <v>2</v>
      </c>
      <c r="E9" s="19">
        <v>4</v>
      </c>
      <c r="F9" s="19"/>
      <c r="H9">
        <v>6</v>
      </c>
      <c r="I9" t="s">
        <v>7</v>
      </c>
    </row>
    <row r="10" spans="1:12" x14ac:dyDescent="0.25">
      <c r="A10">
        <v>7</v>
      </c>
      <c r="B10" s="19"/>
      <c r="C10" s="19"/>
      <c r="D10" s="19"/>
      <c r="E10" s="19"/>
      <c r="F10" s="19"/>
      <c r="H10">
        <v>7</v>
      </c>
      <c r="I10" t="s">
        <v>7</v>
      </c>
    </row>
    <row r="11" spans="1:12" x14ac:dyDescent="0.25">
      <c r="A11">
        <v>8</v>
      </c>
      <c r="B11" s="20" t="s">
        <v>135</v>
      </c>
      <c r="C11" s="19">
        <v>40017</v>
      </c>
      <c r="D11" s="19">
        <v>0</v>
      </c>
      <c r="E11" s="19">
        <v>16</v>
      </c>
      <c r="F11" s="19">
        <v>0</v>
      </c>
      <c r="H11">
        <v>8</v>
      </c>
      <c r="I11" t="s">
        <v>7</v>
      </c>
    </row>
    <row r="12" spans="1:12" x14ac:dyDescent="0.25">
      <c r="A12">
        <v>9</v>
      </c>
      <c r="B12" s="20"/>
      <c r="C12" s="19"/>
      <c r="D12" s="19"/>
      <c r="E12" s="19"/>
      <c r="F12" s="19"/>
      <c r="H12">
        <v>9</v>
      </c>
      <c r="I12" t="s">
        <v>7</v>
      </c>
    </row>
    <row r="13" spans="1:12" x14ac:dyDescent="0.25">
      <c r="A13">
        <v>10</v>
      </c>
      <c r="B13" s="19" t="s">
        <v>119</v>
      </c>
      <c r="C13" s="19">
        <v>40018</v>
      </c>
      <c r="D13" s="19">
        <v>200</v>
      </c>
      <c r="E13" s="19">
        <v>3000</v>
      </c>
      <c r="F13" s="19">
        <v>300</v>
      </c>
      <c r="H13">
        <v>10</v>
      </c>
      <c r="I13" t="s">
        <v>7</v>
      </c>
    </row>
    <row r="14" spans="1:12" x14ac:dyDescent="0.25">
      <c r="A14">
        <v>11</v>
      </c>
      <c r="B14" s="19"/>
      <c r="C14" s="19"/>
      <c r="D14" s="19"/>
      <c r="E14" s="19"/>
      <c r="F14" s="19"/>
      <c r="H14">
        <v>11</v>
      </c>
      <c r="I14" t="s">
        <v>7</v>
      </c>
    </row>
    <row r="15" spans="1:12" x14ac:dyDescent="0.25">
      <c r="A15">
        <v>12</v>
      </c>
      <c r="B15" s="19" t="s">
        <v>120</v>
      </c>
      <c r="C15" s="19">
        <v>40027</v>
      </c>
      <c r="D15" s="19">
        <v>1</v>
      </c>
      <c r="E15" s="19">
        <v>999</v>
      </c>
      <c r="F15" s="19">
        <v>1</v>
      </c>
      <c r="H15">
        <v>12</v>
      </c>
      <c r="I15" t="s">
        <v>7</v>
      </c>
    </row>
    <row r="16" spans="1:12" x14ac:dyDescent="0.25">
      <c r="A16">
        <v>13</v>
      </c>
      <c r="B16" s="19"/>
      <c r="C16" s="19"/>
      <c r="D16" s="19"/>
      <c r="E16" s="19"/>
      <c r="F16" s="19"/>
      <c r="H16">
        <v>13</v>
      </c>
      <c r="I16" t="s">
        <v>7</v>
      </c>
    </row>
    <row r="17" spans="1:9" x14ac:dyDescent="0.25">
      <c r="A17">
        <v>14</v>
      </c>
      <c r="B17" s="19" t="s">
        <v>122</v>
      </c>
      <c r="C17" s="19">
        <v>40028</v>
      </c>
      <c r="D17" s="19">
        <v>0</v>
      </c>
      <c r="E17" s="19">
        <v>90</v>
      </c>
      <c r="F17" s="19">
        <v>24</v>
      </c>
      <c r="H17">
        <v>14</v>
      </c>
      <c r="I17" t="s">
        <v>7</v>
      </c>
    </row>
    <row r="18" spans="1:9" x14ac:dyDescent="0.25">
      <c r="A18">
        <v>15</v>
      </c>
      <c r="B18" s="19"/>
      <c r="C18" s="19"/>
      <c r="D18" s="19"/>
      <c r="E18" s="19"/>
      <c r="F18" s="19"/>
      <c r="H18">
        <v>15</v>
      </c>
      <c r="I18" t="s">
        <v>7</v>
      </c>
    </row>
    <row r="19" spans="1:9" x14ac:dyDescent="0.25">
      <c r="A19">
        <v>16</v>
      </c>
      <c r="B19" s="19" t="s">
        <v>121</v>
      </c>
      <c r="C19" s="19">
        <v>40029</v>
      </c>
      <c r="D19" s="19">
        <v>0</v>
      </c>
      <c r="E19" s="19">
        <v>90</v>
      </c>
      <c r="F19" s="19">
        <v>0</v>
      </c>
    </row>
    <row r="20" spans="1:9" x14ac:dyDescent="0.25">
      <c r="A20">
        <v>17</v>
      </c>
      <c r="B20" s="19"/>
      <c r="C20" s="19"/>
      <c r="D20" s="19"/>
      <c r="E20" s="19"/>
      <c r="F20" s="19"/>
    </row>
    <row r="21" spans="1:9" x14ac:dyDescent="0.25">
      <c r="A21">
        <v>18</v>
      </c>
      <c r="B21" s="19" t="s">
        <v>123</v>
      </c>
      <c r="C21" s="19">
        <v>40032</v>
      </c>
      <c r="D21" s="19">
        <v>0</v>
      </c>
      <c r="E21" s="19">
        <v>90</v>
      </c>
      <c r="F21" s="19"/>
    </row>
    <row r="22" spans="1:9" x14ac:dyDescent="0.25">
      <c r="A22">
        <v>19</v>
      </c>
      <c r="B22" s="19"/>
      <c r="C22" s="19"/>
      <c r="D22" s="19"/>
      <c r="E22" s="19"/>
      <c r="F22" s="19"/>
    </row>
    <row r="23" spans="1:9" x14ac:dyDescent="0.25">
      <c r="A23">
        <v>20</v>
      </c>
      <c r="B23" s="19" t="s">
        <v>124</v>
      </c>
      <c r="C23" s="19">
        <v>40033</v>
      </c>
      <c r="D23" s="19">
        <v>0</v>
      </c>
      <c r="E23" s="19">
        <v>90</v>
      </c>
      <c r="F23" s="19"/>
    </row>
    <row r="24" spans="1:9" x14ac:dyDescent="0.25">
      <c r="A24">
        <v>21</v>
      </c>
      <c r="B24" s="19"/>
      <c r="C24" s="19"/>
      <c r="D24" s="19"/>
      <c r="E24" s="19"/>
      <c r="F24" s="19"/>
    </row>
    <row r="25" spans="1:9" x14ac:dyDescent="0.25">
      <c r="A25">
        <v>22</v>
      </c>
      <c r="B25" s="19" t="s">
        <v>125</v>
      </c>
      <c r="C25" s="19">
        <v>40039</v>
      </c>
      <c r="D25" s="19">
        <v>30001</v>
      </c>
      <c r="E25" s="19">
        <v>30999</v>
      </c>
      <c r="F25" s="19">
        <v>30006</v>
      </c>
    </row>
    <row r="26" spans="1:9" x14ac:dyDescent="0.25">
      <c r="A26">
        <v>23</v>
      </c>
      <c r="B26" s="19"/>
      <c r="C26" s="19"/>
      <c r="D26" s="19"/>
      <c r="E26" s="19"/>
      <c r="F26" s="19"/>
    </row>
    <row r="27" spans="1:9" x14ac:dyDescent="0.25">
      <c r="A27">
        <v>24</v>
      </c>
      <c r="B27" s="19" t="s">
        <v>127</v>
      </c>
      <c r="C27" s="19">
        <v>40041</v>
      </c>
      <c r="D27" s="19">
        <v>40001</v>
      </c>
      <c r="E27" s="19">
        <v>40999</v>
      </c>
      <c r="F27" s="19">
        <v>40007</v>
      </c>
    </row>
    <row r="28" spans="1:9" x14ac:dyDescent="0.25">
      <c r="A28">
        <v>25</v>
      </c>
      <c r="B28" s="19"/>
      <c r="C28" s="19"/>
      <c r="D28" s="19"/>
      <c r="E28" s="19"/>
      <c r="F28" s="19"/>
    </row>
    <row r="29" spans="1:9" x14ac:dyDescent="0.25">
      <c r="A29">
        <v>26</v>
      </c>
      <c r="B29" s="19" t="s">
        <v>128</v>
      </c>
      <c r="C29" s="19">
        <v>40042</v>
      </c>
      <c r="D29" s="19">
        <v>0</v>
      </c>
      <c r="E29" s="19">
        <v>900</v>
      </c>
      <c r="F29" s="19">
        <v>0</v>
      </c>
    </row>
    <row r="30" spans="1:9" x14ac:dyDescent="0.25">
      <c r="A30">
        <v>27</v>
      </c>
      <c r="B30" s="19"/>
      <c r="C30" s="19"/>
      <c r="D30" s="19"/>
      <c r="E30" s="19"/>
      <c r="F30" s="19"/>
    </row>
    <row r="31" spans="1:9" x14ac:dyDescent="0.25">
      <c r="A31">
        <v>28</v>
      </c>
      <c r="B31" s="19" t="s">
        <v>129</v>
      </c>
      <c r="C31" s="19">
        <v>40043</v>
      </c>
      <c r="D31" s="19">
        <v>1</v>
      </c>
      <c r="E31" s="19">
        <v>99</v>
      </c>
      <c r="F31" s="19">
        <v>2</v>
      </c>
    </row>
    <row r="32" spans="1:9" x14ac:dyDescent="0.25">
      <c r="A32">
        <v>29</v>
      </c>
      <c r="B32" s="19"/>
      <c r="C32" s="19"/>
      <c r="D32" s="19"/>
      <c r="E32" s="19"/>
      <c r="F32" s="19"/>
    </row>
    <row r="33" spans="1:7" x14ac:dyDescent="0.25">
      <c r="A33">
        <v>30</v>
      </c>
      <c r="B33" s="20" t="s">
        <v>133</v>
      </c>
      <c r="C33" s="19">
        <v>40044</v>
      </c>
      <c r="D33" s="19">
        <v>0</v>
      </c>
      <c r="E33" s="19">
        <v>4</v>
      </c>
      <c r="F33" s="19">
        <v>0</v>
      </c>
    </row>
    <row r="34" spans="1:7" x14ac:dyDescent="0.25">
      <c r="A34">
        <v>31</v>
      </c>
      <c r="B34" s="20"/>
      <c r="C34" s="19"/>
      <c r="D34" s="19"/>
      <c r="E34" s="19"/>
      <c r="F34" s="19"/>
    </row>
    <row r="35" spans="1:7" x14ac:dyDescent="0.25">
      <c r="A35">
        <v>32</v>
      </c>
      <c r="B35" s="19" t="s">
        <v>134</v>
      </c>
      <c r="C35" s="21" t="s">
        <v>126</v>
      </c>
      <c r="D35" s="19"/>
      <c r="E35" s="19"/>
      <c r="F35" s="19"/>
    </row>
    <row r="36" spans="1:7" x14ac:dyDescent="0.25">
      <c r="A36">
        <v>33</v>
      </c>
      <c r="B36" s="19"/>
      <c r="C36" s="19"/>
      <c r="D36" s="19"/>
      <c r="E36" s="19"/>
      <c r="F36" s="19"/>
    </row>
    <row r="38" spans="1:7" ht="75" x14ac:dyDescent="0.25">
      <c r="A38" s="2" t="s">
        <v>5</v>
      </c>
      <c r="B38" s="14" t="s">
        <v>16</v>
      </c>
      <c r="D38" s="14" t="s">
        <v>131</v>
      </c>
      <c r="E38" s="1" t="s">
        <v>132</v>
      </c>
      <c r="F38" s="5"/>
      <c r="G38" s="1" t="s">
        <v>140</v>
      </c>
    </row>
  </sheetData>
  <mergeCells count="86">
    <mergeCell ref="F9:F10"/>
    <mergeCell ref="B15:B16"/>
    <mergeCell ref="F15:F16"/>
    <mergeCell ref="D7:D8"/>
    <mergeCell ref="E7:E8"/>
    <mergeCell ref="F17:F18"/>
    <mergeCell ref="D11:D12"/>
    <mergeCell ref="E11:E12"/>
    <mergeCell ref="F11:F12"/>
    <mergeCell ref="D13:D14"/>
    <mergeCell ref="E13:E14"/>
    <mergeCell ref="F13:F14"/>
    <mergeCell ref="D15:D16"/>
    <mergeCell ref="E15:E16"/>
    <mergeCell ref="D17:D18"/>
    <mergeCell ref="E17:E18"/>
    <mergeCell ref="F7:F8"/>
    <mergeCell ref="D9:D10"/>
    <mergeCell ref="E9:E10"/>
    <mergeCell ref="D3:D4"/>
    <mergeCell ref="E3:E4"/>
    <mergeCell ref="F3:F4"/>
    <mergeCell ref="D5:D6"/>
    <mergeCell ref="E5:E6"/>
    <mergeCell ref="F5:F6"/>
    <mergeCell ref="A1:C1"/>
    <mergeCell ref="B7:B8"/>
    <mergeCell ref="B9:B10"/>
    <mergeCell ref="B11:B12"/>
    <mergeCell ref="B13:B14"/>
    <mergeCell ref="C25:C26"/>
    <mergeCell ref="C27:C28"/>
    <mergeCell ref="C29:C30"/>
    <mergeCell ref="C31:C32"/>
    <mergeCell ref="B17:B18"/>
    <mergeCell ref="B27:B28"/>
    <mergeCell ref="B29:B30"/>
    <mergeCell ref="B31:B32"/>
    <mergeCell ref="C21:C22"/>
    <mergeCell ref="C23:C24"/>
    <mergeCell ref="B19:B20"/>
    <mergeCell ref="B21:B22"/>
    <mergeCell ref="B23:B24"/>
    <mergeCell ref="B33:B34"/>
    <mergeCell ref="B35:B3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B3:B4"/>
    <mergeCell ref="B5:B6"/>
    <mergeCell ref="B25:B26"/>
    <mergeCell ref="C33:C34"/>
    <mergeCell ref="C35:C36"/>
    <mergeCell ref="D25:D26"/>
    <mergeCell ref="E25:E26"/>
    <mergeCell ref="F25:F26"/>
    <mergeCell ref="D19:D20"/>
    <mergeCell ref="E19:E20"/>
    <mergeCell ref="F19:F20"/>
    <mergeCell ref="D21:D22"/>
    <mergeCell ref="E21:E22"/>
    <mergeCell ref="F21:F22"/>
    <mergeCell ref="F23:F24"/>
    <mergeCell ref="D23:D24"/>
    <mergeCell ref="E23:E24"/>
    <mergeCell ref="D35:D36"/>
    <mergeCell ref="E35:E36"/>
    <mergeCell ref="F35:F36"/>
    <mergeCell ref="D27:D28"/>
    <mergeCell ref="E27:E28"/>
    <mergeCell ref="F27:F28"/>
    <mergeCell ref="D29:D30"/>
    <mergeCell ref="E29:E30"/>
    <mergeCell ref="F29:F30"/>
    <mergeCell ref="D31:D32"/>
    <mergeCell ref="E31:E32"/>
    <mergeCell ref="F31:F32"/>
    <mergeCell ref="D33:D34"/>
    <mergeCell ref="E33:E34"/>
    <mergeCell ref="F33:F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topLeftCell="E1" workbookViewId="0">
      <selection activeCell="Y14" sqref="Y14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23" width="6" style="3" bestFit="1" customWidth="1"/>
    <col min="25" max="25" width="31.5703125" bestFit="1" customWidth="1"/>
    <col min="26" max="26" width="10.28515625" style="7" bestFit="1" customWidth="1"/>
  </cols>
  <sheetData>
    <row r="1" spans="1:26" s="13" customFormat="1" x14ac:dyDescent="0.25">
      <c r="A1" s="22" t="s">
        <v>141</v>
      </c>
      <c r="B1" s="22" t="s">
        <v>150</v>
      </c>
      <c r="C1" s="22" t="s">
        <v>142</v>
      </c>
      <c r="D1" s="22" t="s">
        <v>144</v>
      </c>
      <c r="E1" s="22" t="s">
        <v>143</v>
      </c>
      <c r="F1" s="22" t="s">
        <v>145</v>
      </c>
      <c r="G1" s="22" t="s">
        <v>146</v>
      </c>
      <c r="H1" s="23" t="s">
        <v>469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Y1" s="15" t="s">
        <v>482</v>
      </c>
      <c r="Z1" s="17" t="s">
        <v>693</v>
      </c>
    </row>
    <row r="2" spans="1:26" s="13" customFormat="1" x14ac:dyDescent="0.25">
      <c r="A2" s="22"/>
      <c r="B2" s="22"/>
      <c r="C2" s="22"/>
      <c r="D2" s="22"/>
      <c r="E2" s="22"/>
      <c r="F2" s="22"/>
      <c r="G2" s="22"/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6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6">
        <v>14</v>
      </c>
      <c r="V2" s="6">
        <v>15</v>
      </c>
      <c r="W2" s="6">
        <v>16</v>
      </c>
      <c r="Y2" s="15" t="s">
        <v>483</v>
      </c>
      <c r="Z2" s="16" t="s">
        <v>692</v>
      </c>
    </row>
    <row r="3" spans="1:26" x14ac:dyDescent="0.25">
      <c r="A3" t="s">
        <v>638</v>
      </c>
      <c r="B3">
        <v>1</v>
      </c>
      <c r="C3" t="s">
        <v>651</v>
      </c>
      <c r="D3" t="s">
        <v>637</v>
      </c>
      <c r="E3" t="s">
        <v>468</v>
      </c>
      <c r="F3">
        <v>0</v>
      </c>
      <c r="G3">
        <v>2</v>
      </c>
      <c r="H3" s="3">
        <v>40064</v>
      </c>
      <c r="I3" s="3">
        <f>H3+20</f>
        <v>40084</v>
      </c>
      <c r="J3" s="3">
        <f t="shared" ref="J3:W3" si="0">I3+20</f>
        <v>40104</v>
      </c>
      <c r="K3" s="3">
        <f t="shared" si="0"/>
        <v>40124</v>
      </c>
      <c r="L3" s="3">
        <f t="shared" si="0"/>
        <v>40144</v>
      </c>
      <c r="M3" s="3">
        <f t="shared" si="0"/>
        <v>40164</v>
      </c>
      <c r="N3" s="3">
        <f t="shared" si="0"/>
        <v>40184</v>
      </c>
      <c r="O3" s="3">
        <f t="shared" si="0"/>
        <v>40204</v>
      </c>
      <c r="P3" s="3">
        <f t="shared" si="0"/>
        <v>40224</v>
      </c>
      <c r="Q3" s="3">
        <f t="shared" si="0"/>
        <v>40244</v>
      </c>
      <c r="R3" s="3">
        <f t="shared" si="0"/>
        <v>40264</v>
      </c>
      <c r="S3" s="3">
        <f t="shared" si="0"/>
        <v>40284</v>
      </c>
      <c r="T3" s="3">
        <f t="shared" si="0"/>
        <v>40304</v>
      </c>
      <c r="U3" s="3">
        <f t="shared" si="0"/>
        <v>40324</v>
      </c>
      <c r="V3" s="3">
        <f t="shared" si="0"/>
        <v>40344</v>
      </c>
      <c r="W3" s="3">
        <f t="shared" si="0"/>
        <v>40364</v>
      </c>
      <c r="Y3" s="15" t="s">
        <v>484</v>
      </c>
      <c r="Z3" s="7">
        <v>1</v>
      </c>
    </row>
    <row r="4" spans="1:26" x14ac:dyDescent="0.25">
      <c r="A4" t="s">
        <v>639</v>
      </c>
      <c r="B4">
        <v>2</v>
      </c>
      <c r="C4" t="s">
        <v>652</v>
      </c>
      <c r="D4" t="s">
        <v>15</v>
      </c>
      <c r="E4" t="s">
        <v>468</v>
      </c>
      <c r="F4">
        <v>0</v>
      </c>
      <c r="G4">
        <v>1</v>
      </c>
      <c r="H4" s="12" t="s">
        <v>116</v>
      </c>
      <c r="I4" s="12" t="s">
        <v>677</v>
      </c>
      <c r="J4" s="12" t="s">
        <v>678</v>
      </c>
      <c r="K4" s="12" t="s">
        <v>679</v>
      </c>
      <c r="L4" s="12" t="s">
        <v>680</v>
      </c>
      <c r="M4" s="12" t="s">
        <v>681</v>
      </c>
      <c r="N4" s="12" t="s">
        <v>682</v>
      </c>
      <c r="O4" s="12" t="s">
        <v>683</v>
      </c>
      <c r="P4" s="12" t="s">
        <v>684</v>
      </c>
      <c r="Q4" s="12" t="s">
        <v>685</v>
      </c>
      <c r="R4" s="12" t="s">
        <v>686</v>
      </c>
      <c r="S4" s="12" t="s">
        <v>687</v>
      </c>
      <c r="T4" s="12" t="s">
        <v>688</v>
      </c>
      <c r="U4" s="12" t="s">
        <v>689</v>
      </c>
      <c r="V4" s="12" t="s">
        <v>690</v>
      </c>
      <c r="W4" s="12" t="s">
        <v>691</v>
      </c>
      <c r="Y4" s="15" t="s">
        <v>486</v>
      </c>
      <c r="Z4" s="7" t="s">
        <v>485</v>
      </c>
    </row>
    <row r="5" spans="1:26" x14ac:dyDescent="0.25">
      <c r="A5" t="s">
        <v>640</v>
      </c>
      <c r="B5">
        <v>3</v>
      </c>
      <c r="C5" t="s">
        <v>653</v>
      </c>
      <c r="D5" t="s">
        <v>2</v>
      </c>
      <c r="E5" t="s">
        <v>468</v>
      </c>
      <c r="F5">
        <v>0</v>
      </c>
      <c r="G5">
        <v>8</v>
      </c>
      <c r="H5" s="3">
        <v>40050</v>
      </c>
      <c r="I5" s="3">
        <f t="shared" ref="I5:W5" si="1">H5+20</f>
        <v>40070</v>
      </c>
      <c r="J5" s="3">
        <f t="shared" si="1"/>
        <v>40090</v>
      </c>
      <c r="K5" s="3">
        <f t="shared" si="1"/>
        <v>40110</v>
      </c>
      <c r="L5" s="3">
        <f t="shared" si="1"/>
        <v>40130</v>
      </c>
      <c r="M5" s="3">
        <f t="shared" si="1"/>
        <v>40150</v>
      </c>
      <c r="N5" s="3">
        <f t="shared" si="1"/>
        <v>40170</v>
      </c>
      <c r="O5" s="3">
        <f t="shared" si="1"/>
        <v>40190</v>
      </c>
      <c r="P5" s="3">
        <f t="shared" si="1"/>
        <v>40210</v>
      </c>
      <c r="Q5" s="3">
        <f t="shared" si="1"/>
        <v>40230</v>
      </c>
      <c r="R5" s="3">
        <f t="shared" si="1"/>
        <v>40250</v>
      </c>
      <c r="S5" s="3">
        <f t="shared" si="1"/>
        <v>40270</v>
      </c>
      <c r="T5" s="3">
        <f t="shared" si="1"/>
        <v>40290</v>
      </c>
      <c r="U5" s="3">
        <f t="shared" si="1"/>
        <v>40310</v>
      </c>
      <c r="V5" s="3">
        <f t="shared" si="1"/>
        <v>40330</v>
      </c>
      <c r="W5" s="3">
        <f t="shared" si="1"/>
        <v>40350</v>
      </c>
      <c r="Y5" s="15" t="s">
        <v>487</v>
      </c>
      <c r="Z5" s="7" t="s">
        <v>488</v>
      </c>
    </row>
    <row r="6" spans="1:26" x14ac:dyDescent="0.25">
      <c r="A6" t="s">
        <v>641</v>
      </c>
      <c r="B6">
        <v>4</v>
      </c>
      <c r="C6" t="s">
        <v>654</v>
      </c>
      <c r="D6" t="s">
        <v>2</v>
      </c>
      <c r="E6" t="s">
        <v>468</v>
      </c>
      <c r="F6">
        <v>0</v>
      </c>
      <c r="G6">
        <v>63</v>
      </c>
      <c r="H6" s="3">
        <v>40051</v>
      </c>
      <c r="I6" s="3">
        <f t="shared" ref="I6:W6" si="2">H6+20</f>
        <v>40071</v>
      </c>
      <c r="J6" s="3">
        <f t="shared" si="2"/>
        <v>40091</v>
      </c>
      <c r="K6" s="3">
        <f t="shared" si="2"/>
        <v>40111</v>
      </c>
      <c r="L6" s="3">
        <f t="shared" si="2"/>
        <v>40131</v>
      </c>
      <c r="M6" s="3">
        <f t="shared" si="2"/>
        <v>40151</v>
      </c>
      <c r="N6" s="3">
        <f t="shared" si="2"/>
        <v>40171</v>
      </c>
      <c r="O6" s="3">
        <f t="shared" si="2"/>
        <v>40191</v>
      </c>
      <c r="P6" s="3">
        <f t="shared" si="2"/>
        <v>40211</v>
      </c>
      <c r="Q6" s="3">
        <f t="shared" si="2"/>
        <v>40231</v>
      </c>
      <c r="R6" s="3">
        <f t="shared" si="2"/>
        <v>40251</v>
      </c>
      <c r="S6" s="3">
        <f t="shared" si="2"/>
        <v>40271</v>
      </c>
      <c r="T6" s="3">
        <f t="shared" si="2"/>
        <v>40291</v>
      </c>
      <c r="U6" s="3">
        <f t="shared" si="2"/>
        <v>40311</v>
      </c>
      <c r="V6" s="3">
        <f t="shared" si="2"/>
        <v>40331</v>
      </c>
      <c r="W6" s="3">
        <f t="shared" si="2"/>
        <v>40351</v>
      </c>
      <c r="Y6" s="15" t="s">
        <v>697</v>
      </c>
      <c r="Z6" s="7">
        <v>16</v>
      </c>
    </row>
    <row r="7" spans="1:26" x14ac:dyDescent="0.25">
      <c r="A7" t="s">
        <v>642</v>
      </c>
      <c r="B7">
        <v>5</v>
      </c>
      <c r="C7" t="s">
        <v>655</v>
      </c>
      <c r="D7" t="s">
        <v>2</v>
      </c>
      <c r="E7" t="s">
        <v>468</v>
      </c>
      <c r="F7">
        <v>0</v>
      </c>
      <c r="G7">
        <v>63</v>
      </c>
      <c r="H7" s="3">
        <v>40052</v>
      </c>
      <c r="I7" s="3">
        <f t="shared" ref="I7:W7" si="3">H7+20</f>
        <v>40072</v>
      </c>
      <c r="J7" s="3">
        <f t="shared" si="3"/>
        <v>40092</v>
      </c>
      <c r="K7" s="3">
        <f t="shared" si="3"/>
        <v>40112</v>
      </c>
      <c r="L7" s="3">
        <f t="shared" si="3"/>
        <v>40132</v>
      </c>
      <c r="M7" s="3">
        <f t="shared" si="3"/>
        <v>40152</v>
      </c>
      <c r="N7" s="3">
        <f t="shared" si="3"/>
        <v>40172</v>
      </c>
      <c r="O7" s="3">
        <f t="shared" si="3"/>
        <v>40192</v>
      </c>
      <c r="P7" s="3">
        <f t="shared" si="3"/>
        <v>40212</v>
      </c>
      <c r="Q7" s="3">
        <f t="shared" si="3"/>
        <v>40232</v>
      </c>
      <c r="R7" s="3">
        <f t="shared" si="3"/>
        <v>40252</v>
      </c>
      <c r="S7" s="3">
        <f t="shared" si="3"/>
        <v>40272</v>
      </c>
      <c r="T7" s="3">
        <f t="shared" si="3"/>
        <v>40292</v>
      </c>
      <c r="U7" s="3">
        <f t="shared" si="3"/>
        <v>40312</v>
      </c>
      <c r="V7" s="3">
        <f t="shared" si="3"/>
        <v>40332</v>
      </c>
      <c r="W7" s="3">
        <f t="shared" si="3"/>
        <v>40352</v>
      </c>
      <c r="Y7" s="15" t="s">
        <v>698</v>
      </c>
      <c r="Z7" s="7">
        <v>19</v>
      </c>
    </row>
    <row r="8" spans="1:26" x14ac:dyDescent="0.25">
      <c r="A8" t="s">
        <v>643</v>
      </c>
      <c r="B8">
        <v>6</v>
      </c>
      <c r="C8" t="s">
        <v>656</v>
      </c>
      <c r="D8" t="s">
        <v>2</v>
      </c>
      <c r="E8" t="s">
        <v>468</v>
      </c>
      <c r="F8">
        <v>0</v>
      </c>
      <c r="G8">
        <v>31</v>
      </c>
      <c r="H8" s="3">
        <v>40053</v>
      </c>
      <c r="I8" s="3">
        <f t="shared" ref="I8:W8" si="4">H8+20</f>
        <v>40073</v>
      </c>
      <c r="J8" s="3">
        <f t="shared" si="4"/>
        <v>40093</v>
      </c>
      <c r="K8" s="3">
        <f t="shared" si="4"/>
        <v>40113</v>
      </c>
      <c r="L8" s="3">
        <f t="shared" si="4"/>
        <v>40133</v>
      </c>
      <c r="M8" s="3">
        <f t="shared" si="4"/>
        <v>40153</v>
      </c>
      <c r="N8" s="3">
        <f t="shared" si="4"/>
        <v>40173</v>
      </c>
      <c r="O8" s="3">
        <f t="shared" si="4"/>
        <v>40193</v>
      </c>
      <c r="P8" s="3">
        <f t="shared" si="4"/>
        <v>40213</v>
      </c>
      <c r="Q8" s="3">
        <f t="shared" si="4"/>
        <v>40233</v>
      </c>
      <c r="R8" s="3">
        <f t="shared" si="4"/>
        <v>40253</v>
      </c>
      <c r="S8" s="3">
        <f t="shared" si="4"/>
        <v>40273</v>
      </c>
      <c r="T8" s="3">
        <f t="shared" si="4"/>
        <v>40293</v>
      </c>
      <c r="U8" s="3">
        <f t="shared" si="4"/>
        <v>40313</v>
      </c>
      <c r="V8" s="3">
        <f t="shared" si="4"/>
        <v>40333</v>
      </c>
      <c r="W8" s="3">
        <f t="shared" si="4"/>
        <v>40353</v>
      </c>
      <c r="Y8" s="15" t="s">
        <v>699</v>
      </c>
      <c r="Z8" s="7" t="s">
        <v>700</v>
      </c>
    </row>
    <row r="9" spans="1:26" x14ac:dyDescent="0.25">
      <c r="A9" t="s">
        <v>644</v>
      </c>
      <c r="B9">
        <v>7</v>
      </c>
      <c r="C9" t="s">
        <v>657</v>
      </c>
      <c r="D9" t="s">
        <v>2</v>
      </c>
      <c r="E9" t="s">
        <v>468</v>
      </c>
      <c r="F9">
        <v>0</v>
      </c>
      <c r="G9">
        <v>63</v>
      </c>
      <c r="H9" s="3">
        <v>40054</v>
      </c>
      <c r="I9" s="3">
        <f t="shared" ref="I9:W9" si="5">H9+20</f>
        <v>40074</v>
      </c>
      <c r="J9" s="3">
        <f t="shared" si="5"/>
        <v>40094</v>
      </c>
      <c r="K9" s="3">
        <f t="shared" si="5"/>
        <v>40114</v>
      </c>
      <c r="L9" s="3">
        <f t="shared" si="5"/>
        <v>40134</v>
      </c>
      <c r="M9" s="3">
        <f t="shared" si="5"/>
        <v>40154</v>
      </c>
      <c r="N9" s="3">
        <f t="shared" si="5"/>
        <v>40174</v>
      </c>
      <c r="O9" s="3">
        <f t="shared" si="5"/>
        <v>40194</v>
      </c>
      <c r="P9" s="3">
        <f t="shared" si="5"/>
        <v>40214</v>
      </c>
      <c r="Q9" s="3">
        <f t="shared" si="5"/>
        <v>40234</v>
      </c>
      <c r="R9" s="3">
        <f t="shared" si="5"/>
        <v>40254</v>
      </c>
      <c r="S9" s="3">
        <f t="shared" si="5"/>
        <v>40274</v>
      </c>
      <c r="T9" s="3">
        <f t="shared" si="5"/>
        <v>40294</v>
      </c>
      <c r="U9" s="3">
        <f t="shared" si="5"/>
        <v>40314</v>
      </c>
      <c r="V9" s="3">
        <f t="shared" si="5"/>
        <v>40334</v>
      </c>
      <c r="W9" s="3">
        <f t="shared" si="5"/>
        <v>40354</v>
      </c>
      <c r="Y9" s="15" t="s">
        <v>701</v>
      </c>
      <c r="Z9" s="7">
        <v>100</v>
      </c>
    </row>
    <row r="10" spans="1:26" x14ac:dyDescent="0.25">
      <c r="A10" t="s">
        <v>645</v>
      </c>
      <c r="B10">
        <v>8</v>
      </c>
      <c r="C10" t="s">
        <v>658</v>
      </c>
      <c r="D10" t="s">
        <v>2</v>
      </c>
      <c r="E10" t="s">
        <v>468</v>
      </c>
      <c r="F10">
        <v>0</v>
      </c>
      <c r="G10">
        <v>63</v>
      </c>
      <c r="H10" s="3">
        <v>40055</v>
      </c>
      <c r="I10" s="3">
        <f t="shared" ref="I10:W10" si="6">H10+20</f>
        <v>40075</v>
      </c>
      <c r="J10" s="3">
        <f t="shared" si="6"/>
        <v>40095</v>
      </c>
      <c r="K10" s="3">
        <f t="shared" si="6"/>
        <v>40115</v>
      </c>
      <c r="L10" s="3">
        <f t="shared" si="6"/>
        <v>40135</v>
      </c>
      <c r="M10" s="3">
        <f t="shared" si="6"/>
        <v>40155</v>
      </c>
      <c r="N10" s="3">
        <f t="shared" si="6"/>
        <v>40175</v>
      </c>
      <c r="O10" s="3">
        <f t="shared" si="6"/>
        <v>40195</v>
      </c>
      <c r="P10" s="3">
        <f t="shared" si="6"/>
        <v>40215</v>
      </c>
      <c r="Q10" s="3">
        <f t="shared" si="6"/>
        <v>40235</v>
      </c>
      <c r="R10" s="3">
        <f t="shared" si="6"/>
        <v>40255</v>
      </c>
      <c r="S10" s="3">
        <f t="shared" si="6"/>
        <v>40275</v>
      </c>
      <c r="T10" s="3">
        <f t="shared" si="6"/>
        <v>40295</v>
      </c>
      <c r="U10" s="3">
        <f t="shared" si="6"/>
        <v>40315</v>
      </c>
      <c r="V10" s="3">
        <f t="shared" si="6"/>
        <v>40335</v>
      </c>
      <c r="W10" s="3">
        <f t="shared" si="6"/>
        <v>40355</v>
      </c>
    </row>
    <row r="11" spans="1:26" x14ac:dyDescent="0.25">
      <c r="A11" t="s">
        <v>646</v>
      </c>
      <c r="B11">
        <v>9</v>
      </c>
      <c r="C11" t="s">
        <v>659</v>
      </c>
      <c r="D11" t="s">
        <v>2</v>
      </c>
      <c r="E11" t="s">
        <v>468</v>
      </c>
      <c r="F11">
        <v>0</v>
      </c>
      <c r="G11">
        <v>31</v>
      </c>
      <c r="H11" s="3">
        <v>40056</v>
      </c>
      <c r="I11" s="3">
        <f t="shared" ref="I11:W11" si="7">H11+20</f>
        <v>40076</v>
      </c>
      <c r="J11" s="3">
        <f t="shared" si="7"/>
        <v>40096</v>
      </c>
      <c r="K11" s="3">
        <f t="shared" si="7"/>
        <v>40116</v>
      </c>
      <c r="L11" s="3">
        <f t="shared" si="7"/>
        <v>40136</v>
      </c>
      <c r="M11" s="3">
        <f t="shared" si="7"/>
        <v>40156</v>
      </c>
      <c r="N11" s="3">
        <f t="shared" si="7"/>
        <v>40176</v>
      </c>
      <c r="O11" s="3">
        <f t="shared" si="7"/>
        <v>40196</v>
      </c>
      <c r="P11" s="3">
        <f t="shared" si="7"/>
        <v>40216</v>
      </c>
      <c r="Q11" s="3">
        <f t="shared" si="7"/>
        <v>40236</v>
      </c>
      <c r="R11" s="3">
        <f t="shared" si="7"/>
        <v>40256</v>
      </c>
      <c r="S11" s="3">
        <f t="shared" si="7"/>
        <v>40276</v>
      </c>
      <c r="T11" s="3">
        <f t="shared" si="7"/>
        <v>40296</v>
      </c>
      <c r="U11" s="3">
        <f t="shared" si="7"/>
        <v>40316</v>
      </c>
      <c r="V11" s="3">
        <f t="shared" si="7"/>
        <v>40336</v>
      </c>
      <c r="W11" s="3">
        <f t="shared" si="7"/>
        <v>40356</v>
      </c>
    </row>
    <row r="12" spans="1:26" x14ac:dyDescent="0.25">
      <c r="A12" t="s">
        <v>647</v>
      </c>
      <c r="B12">
        <v>10</v>
      </c>
      <c r="C12" t="s">
        <v>660</v>
      </c>
      <c r="D12" t="s">
        <v>2</v>
      </c>
      <c r="E12" t="s">
        <v>468</v>
      </c>
      <c r="F12">
        <v>-500</v>
      </c>
      <c r="G12">
        <v>500</v>
      </c>
      <c r="H12" s="3">
        <v>40060</v>
      </c>
      <c r="I12" s="3">
        <f t="shared" ref="I12:W12" si="8">H12+20</f>
        <v>40080</v>
      </c>
      <c r="J12" s="3">
        <f t="shared" si="8"/>
        <v>40100</v>
      </c>
      <c r="K12" s="3">
        <f t="shared" si="8"/>
        <v>40120</v>
      </c>
      <c r="L12" s="3">
        <f t="shared" si="8"/>
        <v>40140</v>
      </c>
      <c r="M12" s="3">
        <f t="shared" si="8"/>
        <v>40160</v>
      </c>
      <c r="N12" s="3">
        <f t="shared" si="8"/>
        <v>40180</v>
      </c>
      <c r="O12" s="3">
        <f t="shared" si="8"/>
        <v>40200</v>
      </c>
      <c r="P12" s="3">
        <f t="shared" si="8"/>
        <v>40220</v>
      </c>
      <c r="Q12" s="3">
        <f t="shared" si="8"/>
        <v>40240</v>
      </c>
      <c r="R12" s="3">
        <f t="shared" si="8"/>
        <v>40260</v>
      </c>
      <c r="S12" s="3">
        <f t="shared" si="8"/>
        <v>40280</v>
      </c>
      <c r="T12" s="3">
        <f t="shared" si="8"/>
        <v>40300</v>
      </c>
      <c r="U12" s="3">
        <f t="shared" si="8"/>
        <v>40320</v>
      </c>
      <c r="V12" s="3">
        <f t="shared" si="8"/>
        <v>40340</v>
      </c>
      <c r="W12" s="3">
        <f t="shared" si="8"/>
        <v>40360</v>
      </c>
    </row>
    <row r="13" spans="1:26" x14ac:dyDescent="0.25">
      <c r="A13" t="s">
        <v>648</v>
      </c>
      <c r="B13">
        <v>11</v>
      </c>
      <c r="C13" t="s">
        <v>661</v>
      </c>
      <c r="D13" t="s">
        <v>2</v>
      </c>
      <c r="E13" t="s">
        <v>468</v>
      </c>
      <c r="F13">
        <v>-500</v>
      </c>
      <c r="G13">
        <v>500</v>
      </c>
      <c r="H13" s="3">
        <v>40061</v>
      </c>
      <c r="I13" s="3">
        <f t="shared" ref="I13:W13" si="9">H13+20</f>
        <v>40081</v>
      </c>
      <c r="J13" s="3">
        <f t="shared" si="9"/>
        <v>40101</v>
      </c>
      <c r="K13" s="3">
        <f t="shared" si="9"/>
        <v>40121</v>
      </c>
      <c r="L13" s="3">
        <f t="shared" si="9"/>
        <v>40141</v>
      </c>
      <c r="M13" s="3">
        <f t="shared" si="9"/>
        <v>40161</v>
      </c>
      <c r="N13" s="3">
        <f t="shared" si="9"/>
        <v>40181</v>
      </c>
      <c r="O13" s="3">
        <f t="shared" si="9"/>
        <v>40201</v>
      </c>
      <c r="P13" s="3">
        <f t="shared" si="9"/>
        <v>40221</v>
      </c>
      <c r="Q13" s="3">
        <f t="shared" si="9"/>
        <v>40241</v>
      </c>
      <c r="R13" s="3">
        <f t="shared" si="9"/>
        <v>40261</v>
      </c>
      <c r="S13" s="3">
        <f t="shared" si="9"/>
        <v>40281</v>
      </c>
      <c r="T13" s="3">
        <f t="shared" si="9"/>
        <v>40301</v>
      </c>
      <c r="U13" s="3">
        <f t="shared" si="9"/>
        <v>40321</v>
      </c>
      <c r="V13" s="3">
        <f t="shared" si="9"/>
        <v>40341</v>
      </c>
      <c r="W13" s="3">
        <f t="shared" si="9"/>
        <v>40361</v>
      </c>
    </row>
    <row r="14" spans="1:26" x14ac:dyDescent="0.25">
      <c r="A14" t="s">
        <v>649</v>
      </c>
      <c r="B14">
        <v>12</v>
      </c>
      <c r="C14" t="s">
        <v>662</v>
      </c>
      <c r="D14" t="s">
        <v>2</v>
      </c>
      <c r="E14" t="s">
        <v>468</v>
      </c>
      <c r="F14">
        <v>1</v>
      </c>
      <c r="G14">
        <v>16</v>
      </c>
      <c r="H14" s="3">
        <v>40065</v>
      </c>
      <c r="I14" s="3">
        <f t="shared" ref="I14:W14" si="10">H14+20</f>
        <v>40085</v>
      </c>
      <c r="J14" s="3">
        <f t="shared" si="10"/>
        <v>40105</v>
      </c>
      <c r="K14" s="3">
        <f t="shared" si="10"/>
        <v>40125</v>
      </c>
      <c r="L14" s="3">
        <f t="shared" si="10"/>
        <v>40145</v>
      </c>
      <c r="M14" s="3">
        <f t="shared" si="10"/>
        <v>40165</v>
      </c>
      <c r="N14" s="3">
        <f t="shared" si="10"/>
        <v>40185</v>
      </c>
      <c r="O14" s="3">
        <f t="shared" si="10"/>
        <v>40205</v>
      </c>
      <c r="P14" s="3">
        <f t="shared" si="10"/>
        <v>40225</v>
      </c>
      <c r="Q14" s="3">
        <f t="shared" si="10"/>
        <v>40245</v>
      </c>
      <c r="R14" s="3">
        <f t="shared" si="10"/>
        <v>40265</v>
      </c>
      <c r="S14" s="3">
        <f t="shared" si="10"/>
        <v>40285</v>
      </c>
      <c r="T14" s="3">
        <f t="shared" si="10"/>
        <v>40305</v>
      </c>
      <c r="U14" s="3">
        <f t="shared" si="10"/>
        <v>40325</v>
      </c>
      <c r="V14" s="3">
        <f t="shared" si="10"/>
        <v>40345</v>
      </c>
      <c r="W14" s="3">
        <f t="shared" si="10"/>
        <v>40365</v>
      </c>
    </row>
    <row r="15" spans="1:26" x14ac:dyDescent="0.25">
      <c r="A15" t="s">
        <v>663</v>
      </c>
      <c r="B15">
        <v>13</v>
      </c>
      <c r="C15" t="s">
        <v>666</v>
      </c>
      <c r="D15" t="s">
        <v>2</v>
      </c>
      <c r="E15" t="s">
        <v>557</v>
      </c>
      <c r="F15">
        <v>0</v>
      </c>
      <c r="G15">
        <v>1024</v>
      </c>
      <c r="H15" s="3">
        <v>30015</v>
      </c>
      <c r="I15" s="3">
        <v>30016</v>
      </c>
      <c r="J15" s="3">
        <v>30017</v>
      </c>
      <c r="K15" s="3">
        <v>30018</v>
      </c>
      <c r="L15" s="3">
        <v>30019</v>
      </c>
      <c r="M15" s="3">
        <v>30020</v>
      </c>
      <c r="N15" s="3">
        <v>30021</v>
      </c>
      <c r="O15" s="3">
        <v>30022</v>
      </c>
      <c r="P15" s="3">
        <v>30023</v>
      </c>
      <c r="Q15" s="3">
        <v>30024</v>
      </c>
      <c r="R15" s="3">
        <v>30025</v>
      </c>
      <c r="S15" s="3">
        <v>30026</v>
      </c>
      <c r="T15" s="3">
        <v>30027</v>
      </c>
      <c r="U15" s="3">
        <v>30028</v>
      </c>
      <c r="V15" s="3">
        <v>30029</v>
      </c>
      <c r="W15" s="3">
        <v>30030</v>
      </c>
    </row>
    <row r="16" spans="1:26" x14ac:dyDescent="0.25">
      <c r="A16" t="s">
        <v>664</v>
      </c>
      <c r="B16">
        <v>14</v>
      </c>
      <c r="C16" t="s">
        <v>667</v>
      </c>
      <c r="D16" t="s">
        <v>2</v>
      </c>
      <c r="E16" t="s">
        <v>557</v>
      </c>
      <c r="F16">
        <v>0</v>
      </c>
      <c r="G16">
        <v>1024</v>
      </c>
      <c r="H16" s="3">
        <v>30031</v>
      </c>
      <c r="I16" s="3">
        <v>30032</v>
      </c>
      <c r="J16" s="3">
        <v>30033</v>
      </c>
      <c r="K16" s="3">
        <v>30034</v>
      </c>
      <c r="L16" s="3">
        <v>30035</v>
      </c>
      <c r="M16" s="3">
        <v>30036</v>
      </c>
      <c r="N16" s="3">
        <v>30037</v>
      </c>
      <c r="O16" s="3">
        <v>30038</v>
      </c>
      <c r="P16" s="3">
        <v>30039</v>
      </c>
      <c r="Q16" s="3">
        <v>30040</v>
      </c>
      <c r="R16" s="3">
        <v>30041</v>
      </c>
      <c r="S16" s="3">
        <v>30042</v>
      </c>
      <c r="T16" s="3">
        <v>30043</v>
      </c>
      <c r="U16" s="3">
        <v>30044</v>
      </c>
      <c r="V16" s="3">
        <v>30045</v>
      </c>
      <c r="W16" s="3">
        <v>30046</v>
      </c>
    </row>
    <row r="17" spans="1:23" x14ac:dyDescent="0.25">
      <c r="A17" t="s">
        <v>665</v>
      </c>
      <c r="B17">
        <v>15</v>
      </c>
      <c r="C17" t="s">
        <v>668</v>
      </c>
      <c r="D17" t="s">
        <v>2</v>
      </c>
      <c r="E17" t="s">
        <v>557</v>
      </c>
      <c r="F17">
        <v>0</v>
      </c>
      <c r="G17">
        <v>90</v>
      </c>
      <c r="H17" s="3">
        <v>30047</v>
      </c>
      <c r="I17" s="3">
        <v>30048</v>
      </c>
      <c r="J17" s="3">
        <v>30049</v>
      </c>
      <c r="K17" s="3">
        <v>30050</v>
      </c>
      <c r="L17" s="3">
        <v>30051</v>
      </c>
      <c r="M17" s="3">
        <v>30052</v>
      </c>
      <c r="N17" s="3">
        <v>30053</v>
      </c>
      <c r="O17" s="3">
        <v>30054</v>
      </c>
      <c r="P17" s="3">
        <v>30055</v>
      </c>
      <c r="Q17" s="3">
        <v>30056</v>
      </c>
      <c r="R17" s="3">
        <v>30057</v>
      </c>
      <c r="S17" s="3">
        <v>30058</v>
      </c>
      <c r="T17" s="3">
        <v>30059</v>
      </c>
      <c r="U17" s="3">
        <v>30060</v>
      </c>
      <c r="V17" s="3">
        <v>30061</v>
      </c>
      <c r="W17" s="3">
        <v>30062</v>
      </c>
    </row>
    <row r="18" spans="1:23" x14ac:dyDescent="0.25">
      <c r="A18" t="s">
        <v>669</v>
      </c>
      <c r="B18">
        <v>16</v>
      </c>
      <c r="C18" t="s">
        <v>670</v>
      </c>
      <c r="D18" t="s">
        <v>15</v>
      </c>
      <c r="E18" t="s">
        <v>557</v>
      </c>
      <c r="F18">
        <v>0</v>
      </c>
      <c r="G18">
        <v>1</v>
      </c>
      <c r="H18" s="3">
        <v>10033</v>
      </c>
      <c r="I18" s="3">
        <v>10034</v>
      </c>
      <c r="J18" s="3">
        <v>10035</v>
      </c>
      <c r="K18" s="3">
        <v>10036</v>
      </c>
      <c r="L18" s="3">
        <v>10037</v>
      </c>
      <c r="M18" s="3">
        <v>10038</v>
      </c>
      <c r="N18" s="3">
        <v>10039</v>
      </c>
      <c r="O18" s="3">
        <v>10040</v>
      </c>
      <c r="P18" s="3">
        <v>10041</v>
      </c>
      <c r="Q18" s="3">
        <v>10042</v>
      </c>
      <c r="R18" s="3">
        <v>10043</v>
      </c>
      <c r="S18" s="3">
        <v>10044</v>
      </c>
      <c r="T18" s="3">
        <v>10045</v>
      </c>
      <c r="U18" s="3">
        <v>10046</v>
      </c>
      <c r="V18" s="3">
        <v>10047</v>
      </c>
      <c r="W18" s="3">
        <v>10048</v>
      </c>
    </row>
    <row r="19" spans="1:23" x14ac:dyDescent="0.25">
      <c r="A19" t="s">
        <v>671</v>
      </c>
      <c r="B19">
        <v>17</v>
      </c>
      <c r="C19" t="s">
        <v>672</v>
      </c>
      <c r="D19" t="s">
        <v>15</v>
      </c>
      <c r="E19" t="s">
        <v>557</v>
      </c>
      <c r="F19">
        <v>0</v>
      </c>
      <c r="G19">
        <v>1</v>
      </c>
      <c r="H19" s="3">
        <v>10049</v>
      </c>
      <c r="I19" s="3">
        <v>10050</v>
      </c>
      <c r="J19" s="3">
        <v>10051</v>
      </c>
      <c r="K19" s="3">
        <v>10052</v>
      </c>
      <c r="L19" s="3">
        <v>10053</v>
      </c>
      <c r="M19" s="3">
        <v>10054</v>
      </c>
      <c r="N19" s="3">
        <v>10055</v>
      </c>
      <c r="O19" s="3">
        <v>10056</v>
      </c>
      <c r="P19" s="3">
        <v>10057</v>
      </c>
      <c r="Q19" s="3">
        <v>10058</v>
      </c>
      <c r="R19" s="3">
        <v>10059</v>
      </c>
      <c r="S19" s="3">
        <v>10060</v>
      </c>
      <c r="T19" s="3">
        <v>10061</v>
      </c>
      <c r="U19" s="3">
        <v>10062</v>
      </c>
      <c r="V19" s="3">
        <v>10063</v>
      </c>
      <c r="W19" s="3">
        <v>10064</v>
      </c>
    </row>
    <row r="20" spans="1:23" x14ac:dyDescent="0.25">
      <c r="A20" t="s">
        <v>673</v>
      </c>
      <c r="B20">
        <v>18</v>
      </c>
      <c r="C20" t="s">
        <v>674</v>
      </c>
      <c r="D20" t="s">
        <v>15</v>
      </c>
      <c r="E20" t="s">
        <v>557</v>
      </c>
      <c r="F20">
        <v>0</v>
      </c>
      <c r="G20">
        <v>1</v>
      </c>
      <c r="H20" s="3">
        <v>10065</v>
      </c>
      <c r="I20" s="3">
        <v>10066</v>
      </c>
      <c r="J20" s="3">
        <v>10067</v>
      </c>
      <c r="K20" s="3">
        <v>10068</v>
      </c>
      <c r="L20" s="3">
        <v>10069</v>
      </c>
      <c r="M20" s="3">
        <v>10070</v>
      </c>
      <c r="N20" s="3">
        <v>10071</v>
      </c>
      <c r="O20" s="3">
        <v>10072</v>
      </c>
      <c r="P20" s="3">
        <v>10073</v>
      </c>
      <c r="Q20" s="3">
        <v>10074</v>
      </c>
      <c r="R20" s="3">
        <v>10075</v>
      </c>
      <c r="S20" s="3">
        <v>10076</v>
      </c>
      <c r="T20" s="3">
        <v>10077</v>
      </c>
      <c r="U20" s="3">
        <v>10078</v>
      </c>
      <c r="V20" s="3">
        <v>10079</v>
      </c>
      <c r="W20" s="3">
        <v>10080</v>
      </c>
    </row>
    <row r="21" spans="1:23" x14ac:dyDescent="0.25">
      <c r="A21" t="s">
        <v>675</v>
      </c>
      <c r="B21">
        <v>19</v>
      </c>
      <c r="C21" t="s">
        <v>676</v>
      </c>
      <c r="D21" t="s">
        <v>15</v>
      </c>
      <c r="E21" t="s">
        <v>557</v>
      </c>
      <c r="F21">
        <v>0</v>
      </c>
      <c r="G21">
        <v>1</v>
      </c>
      <c r="H21" s="3">
        <v>10081</v>
      </c>
      <c r="I21" s="3">
        <v>10082</v>
      </c>
      <c r="J21" s="3">
        <v>10083</v>
      </c>
      <c r="K21" s="3">
        <v>10084</v>
      </c>
      <c r="L21" s="3">
        <v>10085</v>
      </c>
      <c r="M21" s="3">
        <v>10086</v>
      </c>
      <c r="N21" s="3">
        <v>10087</v>
      </c>
      <c r="O21" s="3">
        <v>10088</v>
      </c>
      <c r="P21" s="3">
        <v>10089</v>
      </c>
      <c r="Q21" s="3">
        <v>10090</v>
      </c>
      <c r="R21" s="3">
        <v>10091</v>
      </c>
      <c r="S21" s="3">
        <v>10092</v>
      </c>
      <c r="T21" s="3">
        <v>10093</v>
      </c>
      <c r="U21" s="3">
        <v>10094</v>
      </c>
      <c r="V21" s="3">
        <v>10095</v>
      </c>
      <c r="W21" s="3">
        <v>10096</v>
      </c>
    </row>
  </sheetData>
  <mergeCells count="8">
    <mergeCell ref="G1:G2"/>
    <mergeCell ref="H1:W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J6" sqref="J6:K9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style="3" bestFit="1" customWidth="1"/>
    <col min="10" max="10" width="31.5703125" bestFit="1" customWidth="1"/>
    <col min="11" max="11" width="10.28515625" style="7" bestFit="1" customWidth="1"/>
  </cols>
  <sheetData>
    <row r="1" spans="1:11" s="13" customFormat="1" x14ac:dyDescent="0.25">
      <c r="A1" s="22" t="s">
        <v>141</v>
      </c>
      <c r="B1" s="22" t="s">
        <v>150</v>
      </c>
      <c r="C1" s="22" t="s">
        <v>142</v>
      </c>
      <c r="D1" s="22" t="s">
        <v>144</v>
      </c>
      <c r="E1" s="22" t="s">
        <v>143</v>
      </c>
      <c r="F1" s="22" t="s">
        <v>145</v>
      </c>
      <c r="G1" s="22" t="s">
        <v>146</v>
      </c>
      <c r="H1" s="6" t="s">
        <v>469</v>
      </c>
      <c r="J1" s="15" t="s">
        <v>482</v>
      </c>
      <c r="K1" s="17" t="s">
        <v>694</v>
      </c>
    </row>
    <row r="2" spans="1:11" s="13" customFormat="1" x14ac:dyDescent="0.25">
      <c r="A2" s="22"/>
      <c r="B2" s="22"/>
      <c r="C2" s="22"/>
      <c r="D2" s="22"/>
      <c r="E2" s="22"/>
      <c r="F2" s="22"/>
      <c r="G2" s="22"/>
      <c r="H2" s="6">
        <v>1</v>
      </c>
      <c r="J2" s="15" t="s">
        <v>483</v>
      </c>
      <c r="K2" s="17">
        <v>17</v>
      </c>
    </row>
    <row r="3" spans="1:11" x14ac:dyDescent="0.25">
      <c r="A3" t="s">
        <v>499</v>
      </c>
      <c r="B3">
        <v>1</v>
      </c>
      <c r="C3" t="s">
        <v>507</v>
      </c>
      <c r="D3" t="s">
        <v>2</v>
      </c>
      <c r="E3" t="s">
        <v>468</v>
      </c>
      <c r="F3">
        <v>1</v>
      </c>
      <c r="G3">
        <v>99</v>
      </c>
      <c r="H3" s="3">
        <v>40010</v>
      </c>
      <c r="J3" s="15" t="s">
        <v>484</v>
      </c>
      <c r="K3" s="7">
        <v>2</v>
      </c>
    </row>
    <row r="4" spans="1:11" x14ac:dyDescent="0.25">
      <c r="A4" t="s">
        <v>500</v>
      </c>
      <c r="B4">
        <v>2</v>
      </c>
      <c r="C4" t="s">
        <v>508</v>
      </c>
      <c r="D4" t="s">
        <v>2</v>
      </c>
      <c r="E4" t="s">
        <v>468</v>
      </c>
      <c r="F4">
        <v>0</v>
      </c>
      <c r="G4">
        <v>4</v>
      </c>
      <c r="H4" s="3">
        <v>40011</v>
      </c>
      <c r="J4" s="15" t="s">
        <v>486</v>
      </c>
      <c r="K4" s="7" t="s">
        <v>485</v>
      </c>
    </row>
    <row r="5" spans="1:11" x14ac:dyDescent="0.25">
      <c r="A5" t="s">
        <v>501</v>
      </c>
      <c r="B5">
        <v>3</v>
      </c>
      <c r="C5" t="s">
        <v>509</v>
      </c>
      <c r="D5" t="s">
        <v>2</v>
      </c>
      <c r="E5" t="s">
        <v>468</v>
      </c>
      <c r="F5">
        <v>1</v>
      </c>
      <c r="G5">
        <v>255</v>
      </c>
      <c r="H5" s="3">
        <v>40013</v>
      </c>
      <c r="J5" s="15" t="s">
        <v>487</v>
      </c>
      <c r="K5" s="7" t="s">
        <v>485</v>
      </c>
    </row>
    <row r="6" spans="1:11" x14ac:dyDescent="0.25">
      <c r="A6" t="s">
        <v>96</v>
      </c>
      <c r="B6">
        <v>4</v>
      </c>
      <c r="C6" t="s">
        <v>510</v>
      </c>
      <c r="D6" t="s">
        <v>2</v>
      </c>
      <c r="E6" t="s">
        <v>468</v>
      </c>
      <c r="F6">
        <v>1</v>
      </c>
      <c r="G6">
        <v>255</v>
      </c>
      <c r="H6" s="3">
        <v>40016</v>
      </c>
      <c r="J6" s="15" t="s">
        <v>697</v>
      </c>
      <c r="K6" s="7">
        <v>1</v>
      </c>
    </row>
    <row r="7" spans="1:11" x14ac:dyDescent="0.25">
      <c r="A7" t="s">
        <v>470</v>
      </c>
      <c r="B7">
        <v>5</v>
      </c>
      <c r="C7" t="s">
        <v>476</v>
      </c>
      <c r="D7" t="s">
        <v>2</v>
      </c>
      <c r="E7" t="s">
        <v>468</v>
      </c>
      <c r="F7">
        <v>0</v>
      </c>
      <c r="G7">
        <v>90</v>
      </c>
      <c r="H7" s="3">
        <v>40019</v>
      </c>
      <c r="J7" s="15" t="s">
        <v>698</v>
      </c>
      <c r="K7" s="7">
        <v>77</v>
      </c>
    </row>
    <row r="8" spans="1:11" x14ac:dyDescent="0.25">
      <c r="A8" t="s">
        <v>471</v>
      </c>
      <c r="B8">
        <v>6</v>
      </c>
      <c r="C8" t="s">
        <v>477</v>
      </c>
      <c r="D8" t="s">
        <v>2</v>
      </c>
      <c r="E8" t="s">
        <v>468</v>
      </c>
      <c r="F8">
        <v>1</v>
      </c>
      <c r="G8">
        <v>90</v>
      </c>
      <c r="H8" s="3">
        <v>40020</v>
      </c>
      <c r="J8" s="15" t="s">
        <v>699</v>
      </c>
      <c r="K8" s="7" t="s">
        <v>702</v>
      </c>
    </row>
    <row r="9" spans="1:11" x14ac:dyDescent="0.25">
      <c r="A9" t="s">
        <v>472</v>
      </c>
      <c r="B9">
        <v>7</v>
      </c>
      <c r="C9" t="s">
        <v>478</v>
      </c>
      <c r="D9" t="s">
        <v>2</v>
      </c>
      <c r="E9" t="s">
        <v>468</v>
      </c>
      <c r="F9">
        <v>0</v>
      </c>
      <c r="G9">
        <v>90</v>
      </c>
      <c r="H9" s="3">
        <v>40021</v>
      </c>
      <c r="J9" s="15" t="s">
        <v>701</v>
      </c>
      <c r="K9" s="7">
        <v>101</v>
      </c>
    </row>
    <row r="10" spans="1:11" x14ac:dyDescent="0.25">
      <c r="A10" t="s">
        <v>473</v>
      </c>
      <c r="B10">
        <v>8</v>
      </c>
      <c r="C10" t="s">
        <v>479</v>
      </c>
      <c r="D10" t="s">
        <v>2</v>
      </c>
      <c r="E10" t="s">
        <v>468</v>
      </c>
      <c r="F10">
        <v>1</v>
      </c>
      <c r="G10">
        <v>90</v>
      </c>
      <c r="H10" s="3">
        <v>40022</v>
      </c>
    </row>
    <row r="11" spans="1:11" x14ac:dyDescent="0.25">
      <c r="A11" t="s">
        <v>502</v>
      </c>
      <c r="B11">
        <v>9</v>
      </c>
      <c r="C11" t="s">
        <v>511</v>
      </c>
      <c r="D11" t="s">
        <v>2</v>
      </c>
      <c r="E11" t="s">
        <v>468</v>
      </c>
      <c r="F11">
        <v>0</v>
      </c>
      <c r="G11">
        <v>1023</v>
      </c>
      <c r="H11" s="3">
        <v>40023</v>
      </c>
    </row>
    <row r="12" spans="1:11" x14ac:dyDescent="0.25">
      <c r="A12" t="s">
        <v>503</v>
      </c>
      <c r="B12">
        <v>10</v>
      </c>
      <c r="C12" t="s">
        <v>512</v>
      </c>
      <c r="D12" t="s">
        <v>2</v>
      </c>
      <c r="E12" t="s">
        <v>468</v>
      </c>
      <c r="F12">
        <v>0</v>
      </c>
      <c r="G12">
        <v>999</v>
      </c>
      <c r="H12" s="3">
        <v>40024</v>
      </c>
    </row>
    <row r="13" spans="1:11" x14ac:dyDescent="0.25">
      <c r="A13" t="s">
        <v>99</v>
      </c>
      <c r="B13">
        <v>11</v>
      </c>
      <c r="C13" t="s">
        <v>513</v>
      </c>
      <c r="D13" t="s">
        <v>2</v>
      </c>
      <c r="E13" t="s">
        <v>468</v>
      </c>
      <c r="F13">
        <v>0</v>
      </c>
      <c r="G13">
        <v>1024</v>
      </c>
      <c r="H13" s="3">
        <v>40025</v>
      </c>
    </row>
    <row r="14" spans="1:11" x14ac:dyDescent="0.25">
      <c r="A14" t="s">
        <v>100</v>
      </c>
      <c r="B14">
        <v>12</v>
      </c>
      <c r="C14" t="s">
        <v>514</v>
      </c>
      <c r="D14" t="s">
        <v>2</v>
      </c>
      <c r="E14" t="s">
        <v>468</v>
      </c>
      <c r="F14">
        <v>1</v>
      </c>
      <c r="G14">
        <v>999</v>
      </c>
      <c r="H14" s="3">
        <v>40026</v>
      </c>
    </row>
    <row r="15" spans="1:11" x14ac:dyDescent="0.25">
      <c r="A15" t="s">
        <v>120</v>
      </c>
      <c r="B15">
        <v>13</v>
      </c>
      <c r="C15" t="s">
        <v>515</v>
      </c>
      <c r="D15" t="s">
        <v>2</v>
      </c>
      <c r="E15" t="s">
        <v>468</v>
      </c>
      <c r="F15">
        <v>1</v>
      </c>
      <c r="G15">
        <v>999</v>
      </c>
      <c r="H15" s="3">
        <v>40027</v>
      </c>
    </row>
    <row r="16" spans="1:11" x14ac:dyDescent="0.25">
      <c r="A16" t="s">
        <v>504</v>
      </c>
      <c r="B16">
        <v>14</v>
      </c>
      <c r="C16" t="s">
        <v>516</v>
      </c>
      <c r="D16" t="s">
        <v>2</v>
      </c>
      <c r="E16" t="s">
        <v>468</v>
      </c>
      <c r="F16">
        <v>0</v>
      </c>
      <c r="G16">
        <v>90</v>
      </c>
      <c r="H16" s="3">
        <v>40028</v>
      </c>
    </row>
    <row r="17" spans="1:8" x14ac:dyDescent="0.25">
      <c r="A17" t="s">
        <v>505</v>
      </c>
      <c r="B17">
        <v>15</v>
      </c>
      <c r="C17" t="s">
        <v>517</v>
      </c>
      <c r="D17" t="s">
        <v>2</v>
      </c>
      <c r="E17" t="s">
        <v>468</v>
      </c>
      <c r="F17">
        <v>0</v>
      </c>
      <c r="G17">
        <v>90</v>
      </c>
      <c r="H17" s="3">
        <v>40029</v>
      </c>
    </row>
    <row r="18" spans="1:8" x14ac:dyDescent="0.25">
      <c r="A18" t="s">
        <v>506</v>
      </c>
      <c r="B18">
        <v>16</v>
      </c>
      <c r="C18" t="s">
        <v>518</v>
      </c>
      <c r="D18" t="s">
        <v>2</v>
      </c>
      <c r="E18" t="s">
        <v>468</v>
      </c>
      <c r="F18">
        <v>0</v>
      </c>
      <c r="G18">
        <v>90</v>
      </c>
      <c r="H18" s="3">
        <v>40033</v>
      </c>
    </row>
    <row r="19" spans="1:8" x14ac:dyDescent="0.25">
      <c r="A19" t="s">
        <v>474</v>
      </c>
      <c r="B19">
        <v>17</v>
      </c>
      <c r="C19" t="s">
        <v>480</v>
      </c>
      <c r="D19" t="s">
        <v>2</v>
      </c>
      <c r="E19" t="s">
        <v>468</v>
      </c>
      <c r="F19">
        <v>1</v>
      </c>
      <c r="G19">
        <v>10</v>
      </c>
      <c r="H19" s="3">
        <v>40034</v>
      </c>
    </row>
    <row r="20" spans="1:8" x14ac:dyDescent="0.25">
      <c r="A20" t="s">
        <v>475</v>
      </c>
      <c r="B20">
        <v>18</v>
      </c>
      <c r="C20" t="s">
        <v>481</v>
      </c>
      <c r="D20" t="s">
        <v>2</v>
      </c>
      <c r="E20" t="s">
        <v>468</v>
      </c>
      <c r="F20">
        <v>1</v>
      </c>
      <c r="G20">
        <v>10</v>
      </c>
      <c r="H20" s="3">
        <v>40035</v>
      </c>
    </row>
    <row r="21" spans="1:8" x14ac:dyDescent="0.25">
      <c r="A21" t="s">
        <v>101</v>
      </c>
      <c r="B21">
        <v>19</v>
      </c>
      <c r="C21" t="s">
        <v>521</v>
      </c>
      <c r="D21" t="s">
        <v>2</v>
      </c>
      <c r="E21" t="s">
        <v>468</v>
      </c>
      <c r="F21">
        <v>0</v>
      </c>
      <c r="G21">
        <v>99</v>
      </c>
      <c r="H21" s="3">
        <v>40036</v>
      </c>
    </row>
    <row r="22" spans="1:8" x14ac:dyDescent="0.25">
      <c r="A22" t="s">
        <v>102</v>
      </c>
      <c r="B22">
        <v>20</v>
      </c>
      <c r="C22" t="s">
        <v>522</v>
      </c>
      <c r="D22" t="s">
        <v>2</v>
      </c>
      <c r="E22" t="s">
        <v>468</v>
      </c>
      <c r="F22">
        <v>0</v>
      </c>
      <c r="G22">
        <v>99</v>
      </c>
      <c r="H22" s="3">
        <v>40037</v>
      </c>
    </row>
    <row r="23" spans="1:8" x14ac:dyDescent="0.25">
      <c r="A23" t="s">
        <v>519</v>
      </c>
      <c r="B23">
        <v>21</v>
      </c>
      <c r="C23" t="s">
        <v>523</v>
      </c>
      <c r="D23" t="s">
        <v>2</v>
      </c>
      <c r="E23" t="s">
        <v>468</v>
      </c>
      <c r="F23">
        <v>500</v>
      </c>
      <c r="G23">
        <v>1024</v>
      </c>
      <c r="H23" s="3">
        <v>40038</v>
      </c>
    </row>
    <row r="24" spans="1:8" x14ac:dyDescent="0.25">
      <c r="A24" t="s">
        <v>104</v>
      </c>
      <c r="B24">
        <v>22</v>
      </c>
      <c r="C24" t="s">
        <v>524</v>
      </c>
      <c r="D24" t="s">
        <v>2</v>
      </c>
      <c r="E24" t="s">
        <v>468</v>
      </c>
      <c r="F24">
        <v>0</v>
      </c>
      <c r="G24">
        <v>900</v>
      </c>
      <c r="H24" s="3">
        <v>40040</v>
      </c>
    </row>
    <row r="25" spans="1:8" x14ac:dyDescent="0.25">
      <c r="A25" t="s">
        <v>520</v>
      </c>
      <c r="B25">
        <v>23</v>
      </c>
      <c r="C25" t="s">
        <v>525</v>
      </c>
      <c r="D25" t="s">
        <v>2</v>
      </c>
      <c r="E25" t="s">
        <v>468</v>
      </c>
      <c r="F25">
        <v>0</v>
      </c>
      <c r="G25">
        <v>1023</v>
      </c>
      <c r="H25" s="3">
        <v>40042</v>
      </c>
    </row>
    <row r="26" spans="1:8" x14ac:dyDescent="0.25">
      <c r="A26" t="s">
        <v>129</v>
      </c>
      <c r="B26">
        <v>24</v>
      </c>
      <c r="C26" t="s">
        <v>526</v>
      </c>
      <c r="D26" t="s">
        <v>2</v>
      </c>
      <c r="E26" t="s">
        <v>468</v>
      </c>
      <c r="F26">
        <v>1</v>
      </c>
      <c r="G26">
        <v>99</v>
      </c>
      <c r="H26" s="3">
        <v>40043</v>
      </c>
    </row>
    <row r="27" spans="1:8" x14ac:dyDescent="0.25">
      <c r="A27" t="s">
        <v>130</v>
      </c>
      <c r="B27">
        <v>25</v>
      </c>
      <c r="C27" t="s">
        <v>527</v>
      </c>
      <c r="D27" t="s">
        <v>2</v>
      </c>
      <c r="E27" t="s">
        <v>468</v>
      </c>
      <c r="F27">
        <v>0</v>
      </c>
      <c r="G27">
        <v>4</v>
      </c>
      <c r="H27" s="3">
        <v>40044</v>
      </c>
    </row>
    <row r="28" spans="1:8" x14ac:dyDescent="0.25">
      <c r="A28" t="s">
        <v>528</v>
      </c>
      <c r="B28">
        <v>26</v>
      </c>
      <c r="C28" t="s">
        <v>536</v>
      </c>
      <c r="D28" t="s">
        <v>15</v>
      </c>
      <c r="E28" t="s">
        <v>468</v>
      </c>
      <c r="F28">
        <v>0</v>
      </c>
      <c r="G28">
        <v>1</v>
      </c>
      <c r="H28" s="12" t="s">
        <v>547</v>
      </c>
    </row>
    <row r="29" spans="1:8" x14ac:dyDescent="0.25">
      <c r="A29" t="s">
        <v>107</v>
      </c>
      <c r="B29">
        <v>27</v>
      </c>
      <c r="C29" t="s">
        <v>537</v>
      </c>
      <c r="D29" t="s">
        <v>15</v>
      </c>
      <c r="E29" t="s">
        <v>468</v>
      </c>
      <c r="F29">
        <v>0</v>
      </c>
      <c r="G29">
        <v>1</v>
      </c>
      <c r="H29" s="12" t="s">
        <v>548</v>
      </c>
    </row>
    <row r="30" spans="1:8" x14ac:dyDescent="0.25">
      <c r="A30" t="s">
        <v>529</v>
      </c>
      <c r="B30">
        <v>28</v>
      </c>
      <c r="C30" t="s">
        <v>538</v>
      </c>
      <c r="D30" t="s">
        <v>15</v>
      </c>
      <c r="E30" t="s">
        <v>468</v>
      </c>
      <c r="F30">
        <v>0</v>
      </c>
      <c r="G30">
        <v>1</v>
      </c>
      <c r="H30" s="12" t="s">
        <v>549</v>
      </c>
    </row>
    <row r="31" spans="1:8" x14ac:dyDescent="0.25">
      <c r="A31" t="s">
        <v>530</v>
      </c>
      <c r="B31">
        <v>29</v>
      </c>
      <c r="C31" t="s">
        <v>539</v>
      </c>
      <c r="D31" t="s">
        <v>15</v>
      </c>
      <c r="E31" t="s">
        <v>468</v>
      </c>
      <c r="F31">
        <v>0</v>
      </c>
      <c r="G31">
        <v>1</v>
      </c>
      <c r="H31" s="12" t="s">
        <v>550</v>
      </c>
    </row>
    <row r="32" spans="1:8" x14ac:dyDescent="0.25">
      <c r="A32" t="s">
        <v>109</v>
      </c>
      <c r="B32">
        <v>30</v>
      </c>
      <c r="C32" t="s">
        <v>540</v>
      </c>
      <c r="D32" t="s">
        <v>15</v>
      </c>
      <c r="E32" t="s">
        <v>468</v>
      </c>
      <c r="F32">
        <v>0</v>
      </c>
      <c r="G32">
        <v>1</v>
      </c>
      <c r="H32" s="12" t="s">
        <v>551</v>
      </c>
    </row>
    <row r="33" spans="1:8" x14ac:dyDescent="0.25">
      <c r="A33" t="s">
        <v>110</v>
      </c>
      <c r="B33">
        <v>31</v>
      </c>
      <c r="C33" t="s">
        <v>541</v>
      </c>
      <c r="D33" t="s">
        <v>15</v>
      </c>
      <c r="E33" t="s">
        <v>468</v>
      </c>
      <c r="F33">
        <v>0</v>
      </c>
      <c r="G33">
        <v>1</v>
      </c>
      <c r="H33" s="12" t="s">
        <v>552</v>
      </c>
    </row>
    <row r="34" spans="1:8" x14ac:dyDescent="0.25">
      <c r="A34" t="s">
        <v>531</v>
      </c>
      <c r="B34">
        <v>32</v>
      </c>
      <c r="C34" t="s">
        <v>542</v>
      </c>
      <c r="D34" t="s">
        <v>15</v>
      </c>
      <c r="E34" t="s">
        <v>468</v>
      </c>
      <c r="F34">
        <v>0</v>
      </c>
      <c r="G34">
        <v>1</v>
      </c>
      <c r="H34" s="12" t="s">
        <v>553</v>
      </c>
    </row>
    <row r="35" spans="1:8" x14ac:dyDescent="0.25">
      <c r="A35" t="s">
        <v>532</v>
      </c>
      <c r="B35">
        <v>33</v>
      </c>
      <c r="C35" t="s">
        <v>543</v>
      </c>
      <c r="D35" t="s">
        <v>15</v>
      </c>
      <c r="E35" t="s">
        <v>468</v>
      </c>
      <c r="F35">
        <v>0</v>
      </c>
      <c r="G35">
        <v>1</v>
      </c>
      <c r="H35" s="12" t="s">
        <v>554</v>
      </c>
    </row>
    <row r="36" spans="1:8" x14ac:dyDescent="0.25">
      <c r="A36" t="s">
        <v>533</v>
      </c>
      <c r="B36">
        <v>34</v>
      </c>
      <c r="C36" t="s">
        <v>544</v>
      </c>
      <c r="D36" t="s">
        <v>15</v>
      </c>
      <c r="E36" t="s">
        <v>468</v>
      </c>
      <c r="F36">
        <v>0</v>
      </c>
      <c r="G36">
        <v>1</v>
      </c>
      <c r="H36" s="12" t="s">
        <v>555</v>
      </c>
    </row>
    <row r="37" spans="1:8" x14ac:dyDescent="0.25">
      <c r="A37" t="s">
        <v>534</v>
      </c>
      <c r="B37">
        <v>35</v>
      </c>
      <c r="C37" t="s">
        <v>545</v>
      </c>
      <c r="D37" t="s">
        <v>15</v>
      </c>
      <c r="E37" t="s">
        <v>468</v>
      </c>
      <c r="F37">
        <v>0</v>
      </c>
      <c r="G37">
        <v>1</v>
      </c>
      <c r="H37" s="12" t="s">
        <v>126</v>
      </c>
    </row>
    <row r="38" spans="1:8" x14ac:dyDescent="0.25">
      <c r="A38" t="s">
        <v>535</v>
      </c>
      <c r="B38">
        <v>36</v>
      </c>
      <c r="C38" t="s">
        <v>546</v>
      </c>
      <c r="D38" t="s">
        <v>15</v>
      </c>
      <c r="E38" t="s">
        <v>468</v>
      </c>
      <c r="F38">
        <v>0</v>
      </c>
      <c r="G38">
        <v>1</v>
      </c>
      <c r="H38" s="12" t="s">
        <v>556</v>
      </c>
    </row>
    <row r="39" spans="1:8" x14ac:dyDescent="0.25">
      <c r="A39" t="s">
        <v>558</v>
      </c>
      <c r="B39">
        <v>37</v>
      </c>
      <c r="C39" t="s">
        <v>580</v>
      </c>
      <c r="D39" t="s">
        <v>15</v>
      </c>
      <c r="E39" t="s">
        <v>557</v>
      </c>
      <c r="F39">
        <v>0</v>
      </c>
      <c r="G39">
        <v>1</v>
      </c>
      <c r="H39" s="3">
        <v>10001</v>
      </c>
    </row>
    <row r="40" spans="1:8" x14ac:dyDescent="0.25">
      <c r="A40" t="s">
        <v>559</v>
      </c>
      <c r="B40">
        <v>38</v>
      </c>
      <c r="C40" t="s">
        <v>581</v>
      </c>
      <c r="D40" t="s">
        <v>15</v>
      </c>
      <c r="E40" t="s">
        <v>557</v>
      </c>
      <c r="F40">
        <v>0</v>
      </c>
      <c r="G40">
        <v>1</v>
      </c>
      <c r="H40" s="3">
        <v>10002</v>
      </c>
    </row>
    <row r="41" spans="1:8" x14ac:dyDescent="0.25">
      <c r="A41" t="s">
        <v>73</v>
      </c>
      <c r="B41">
        <v>39</v>
      </c>
      <c r="C41" t="s">
        <v>582</v>
      </c>
      <c r="D41" t="s">
        <v>15</v>
      </c>
      <c r="E41" t="s">
        <v>557</v>
      </c>
      <c r="F41">
        <v>0</v>
      </c>
      <c r="G41">
        <v>1</v>
      </c>
      <c r="H41" s="3">
        <v>10003</v>
      </c>
    </row>
    <row r="42" spans="1:8" x14ac:dyDescent="0.25">
      <c r="A42" t="s">
        <v>74</v>
      </c>
      <c r="B42">
        <v>40</v>
      </c>
      <c r="C42" t="s">
        <v>583</v>
      </c>
      <c r="D42" t="s">
        <v>15</v>
      </c>
      <c r="E42" t="s">
        <v>557</v>
      </c>
      <c r="F42">
        <v>0</v>
      </c>
      <c r="G42">
        <v>1</v>
      </c>
      <c r="H42" s="3">
        <v>10004</v>
      </c>
    </row>
    <row r="43" spans="1:8" x14ac:dyDescent="0.25">
      <c r="A43" t="s">
        <v>75</v>
      </c>
      <c r="B43">
        <v>41</v>
      </c>
      <c r="C43" t="s">
        <v>584</v>
      </c>
      <c r="D43" t="s">
        <v>15</v>
      </c>
      <c r="E43" t="s">
        <v>557</v>
      </c>
      <c r="F43">
        <v>0</v>
      </c>
      <c r="G43">
        <v>1</v>
      </c>
      <c r="H43" s="3">
        <v>10005</v>
      </c>
    </row>
    <row r="44" spans="1:8" x14ac:dyDescent="0.25">
      <c r="A44" t="s">
        <v>76</v>
      </c>
      <c r="B44">
        <v>42</v>
      </c>
      <c r="C44" t="s">
        <v>585</v>
      </c>
      <c r="D44" t="s">
        <v>15</v>
      </c>
      <c r="E44" t="s">
        <v>557</v>
      </c>
      <c r="F44">
        <v>0</v>
      </c>
      <c r="G44">
        <v>1</v>
      </c>
      <c r="H44" s="3">
        <v>10006</v>
      </c>
    </row>
    <row r="45" spans="1:8" x14ac:dyDescent="0.25">
      <c r="A45" t="s">
        <v>77</v>
      </c>
      <c r="B45">
        <v>43</v>
      </c>
      <c r="C45" t="s">
        <v>586</v>
      </c>
      <c r="D45" t="s">
        <v>15</v>
      </c>
      <c r="E45" t="s">
        <v>557</v>
      </c>
      <c r="F45">
        <v>0</v>
      </c>
      <c r="G45">
        <v>1</v>
      </c>
      <c r="H45" s="3">
        <v>10007</v>
      </c>
    </row>
    <row r="46" spans="1:8" x14ac:dyDescent="0.25">
      <c r="A46" t="s">
        <v>560</v>
      </c>
      <c r="B46">
        <v>44</v>
      </c>
      <c r="C46" t="s">
        <v>587</v>
      </c>
      <c r="D46" t="s">
        <v>15</v>
      </c>
      <c r="E46" t="s">
        <v>557</v>
      </c>
      <c r="F46">
        <v>0</v>
      </c>
      <c r="G46">
        <v>1</v>
      </c>
      <c r="H46" s="3">
        <v>10008</v>
      </c>
    </row>
    <row r="47" spans="1:8" x14ac:dyDescent="0.25">
      <c r="A47" t="s">
        <v>79</v>
      </c>
      <c r="B47">
        <v>45</v>
      </c>
      <c r="C47" t="s">
        <v>588</v>
      </c>
      <c r="D47" t="s">
        <v>15</v>
      </c>
      <c r="E47" t="s">
        <v>557</v>
      </c>
      <c r="F47">
        <v>0</v>
      </c>
      <c r="G47">
        <v>1</v>
      </c>
      <c r="H47" s="3">
        <v>10009</v>
      </c>
    </row>
    <row r="48" spans="1:8" x14ac:dyDescent="0.25">
      <c r="A48" t="s">
        <v>561</v>
      </c>
      <c r="B48">
        <v>46</v>
      </c>
      <c r="C48" t="s">
        <v>589</v>
      </c>
      <c r="D48" t="s">
        <v>15</v>
      </c>
      <c r="E48" t="s">
        <v>557</v>
      </c>
      <c r="F48">
        <v>0</v>
      </c>
      <c r="G48">
        <v>1</v>
      </c>
      <c r="H48" s="3">
        <v>10010</v>
      </c>
    </row>
    <row r="49" spans="1:8" x14ac:dyDescent="0.25">
      <c r="A49" t="s">
        <v>562</v>
      </c>
      <c r="B49">
        <v>47</v>
      </c>
      <c r="C49" t="s">
        <v>590</v>
      </c>
      <c r="D49" t="s">
        <v>15</v>
      </c>
      <c r="E49" t="s">
        <v>557</v>
      </c>
      <c r="F49">
        <v>0</v>
      </c>
      <c r="G49">
        <v>1</v>
      </c>
      <c r="H49" s="3">
        <v>10011</v>
      </c>
    </row>
    <row r="50" spans="1:8" x14ac:dyDescent="0.25">
      <c r="A50" t="s">
        <v>82</v>
      </c>
      <c r="B50">
        <v>48</v>
      </c>
      <c r="C50" t="s">
        <v>591</v>
      </c>
      <c r="D50" t="s">
        <v>15</v>
      </c>
      <c r="E50" t="s">
        <v>557</v>
      </c>
      <c r="F50">
        <v>0</v>
      </c>
      <c r="G50">
        <v>1</v>
      </c>
      <c r="H50" s="3">
        <v>10012</v>
      </c>
    </row>
    <row r="51" spans="1:8" x14ac:dyDescent="0.25">
      <c r="A51" t="s">
        <v>83</v>
      </c>
      <c r="B51">
        <v>49</v>
      </c>
      <c r="C51" t="s">
        <v>592</v>
      </c>
      <c r="D51" t="s">
        <v>15</v>
      </c>
      <c r="E51" t="s">
        <v>557</v>
      </c>
      <c r="F51">
        <v>0</v>
      </c>
      <c r="G51">
        <v>1</v>
      </c>
      <c r="H51" s="3">
        <v>10013</v>
      </c>
    </row>
    <row r="52" spans="1:8" x14ac:dyDescent="0.25">
      <c r="A52" t="s">
        <v>84</v>
      </c>
      <c r="B52">
        <v>50</v>
      </c>
      <c r="C52" t="s">
        <v>593</v>
      </c>
      <c r="D52" t="s">
        <v>15</v>
      </c>
      <c r="E52" t="s">
        <v>557</v>
      </c>
      <c r="F52">
        <v>0</v>
      </c>
      <c r="G52">
        <v>1</v>
      </c>
      <c r="H52" s="3">
        <v>10014</v>
      </c>
    </row>
    <row r="53" spans="1:8" x14ac:dyDescent="0.25">
      <c r="A53" t="s">
        <v>563</v>
      </c>
      <c r="B53">
        <v>51</v>
      </c>
      <c r="C53" t="s">
        <v>594</v>
      </c>
      <c r="D53" t="s">
        <v>15</v>
      </c>
      <c r="E53" t="s">
        <v>557</v>
      </c>
      <c r="F53">
        <v>0</v>
      </c>
      <c r="G53">
        <v>1</v>
      </c>
      <c r="H53" s="3">
        <v>10015</v>
      </c>
    </row>
    <row r="54" spans="1:8" x14ac:dyDescent="0.25">
      <c r="A54" t="s">
        <v>564</v>
      </c>
      <c r="B54">
        <v>52</v>
      </c>
      <c r="C54" t="s">
        <v>595</v>
      </c>
      <c r="D54" t="s">
        <v>15</v>
      </c>
      <c r="E54" t="s">
        <v>557</v>
      </c>
      <c r="F54">
        <v>0</v>
      </c>
      <c r="G54">
        <v>1</v>
      </c>
      <c r="H54" s="3">
        <v>10017</v>
      </c>
    </row>
    <row r="55" spans="1:8" x14ac:dyDescent="0.25">
      <c r="A55" t="s">
        <v>565</v>
      </c>
      <c r="B55">
        <v>53</v>
      </c>
      <c r="C55" t="s">
        <v>596</v>
      </c>
      <c r="D55" t="s">
        <v>15</v>
      </c>
      <c r="E55" t="s">
        <v>557</v>
      </c>
      <c r="F55">
        <v>0</v>
      </c>
      <c r="G55">
        <v>1</v>
      </c>
      <c r="H55" s="3">
        <v>10018</v>
      </c>
    </row>
    <row r="56" spans="1:8" x14ac:dyDescent="0.25">
      <c r="A56" t="s">
        <v>566</v>
      </c>
      <c r="B56">
        <v>54</v>
      </c>
      <c r="C56" t="s">
        <v>597</v>
      </c>
      <c r="D56" t="s">
        <v>15</v>
      </c>
      <c r="E56" t="s">
        <v>557</v>
      </c>
      <c r="F56">
        <v>0</v>
      </c>
      <c r="G56">
        <v>1</v>
      </c>
      <c r="H56" s="3">
        <v>10019</v>
      </c>
    </row>
    <row r="57" spans="1:8" x14ac:dyDescent="0.25">
      <c r="A57" t="s">
        <v>567</v>
      </c>
      <c r="B57">
        <v>55</v>
      </c>
      <c r="C57" t="s">
        <v>598</v>
      </c>
      <c r="D57" t="s">
        <v>15</v>
      </c>
      <c r="E57" t="s">
        <v>557</v>
      </c>
      <c r="F57">
        <v>0</v>
      </c>
      <c r="G57">
        <v>1</v>
      </c>
      <c r="H57" s="3">
        <v>10020</v>
      </c>
    </row>
    <row r="58" spans="1:8" x14ac:dyDescent="0.25">
      <c r="A58" t="s">
        <v>568</v>
      </c>
      <c r="B58">
        <v>56</v>
      </c>
      <c r="C58" t="s">
        <v>599</v>
      </c>
      <c r="D58" t="s">
        <v>15</v>
      </c>
      <c r="E58" t="s">
        <v>557</v>
      </c>
      <c r="F58">
        <v>0</v>
      </c>
      <c r="G58">
        <v>1</v>
      </c>
      <c r="H58" s="3">
        <v>10021</v>
      </c>
    </row>
    <row r="59" spans="1:8" x14ac:dyDescent="0.25">
      <c r="A59" t="s">
        <v>569</v>
      </c>
      <c r="B59">
        <v>57</v>
      </c>
      <c r="C59" t="s">
        <v>600</v>
      </c>
      <c r="D59" t="s">
        <v>15</v>
      </c>
      <c r="E59" t="s">
        <v>557</v>
      </c>
      <c r="F59">
        <v>0</v>
      </c>
      <c r="G59">
        <v>1</v>
      </c>
      <c r="H59" s="3">
        <v>10022</v>
      </c>
    </row>
    <row r="60" spans="1:8" x14ac:dyDescent="0.25">
      <c r="A60" t="s">
        <v>570</v>
      </c>
      <c r="B60">
        <v>58</v>
      </c>
      <c r="C60" t="s">
        <v>601</v>
      </c>
      <c r="D60" t="s">
        <v>15</v>
      </c>
      <c r="E60" t="s">
        <v>557</v>
      </c>
      <c r="F60">
        <v>0</v>
      </c>
      <c r="G60">
        <v>1</v>
      </c>
      <c r="H60" s="3">
        <v>10023</v>
      </c>
    </row>
    <row r="61" spans="1:8" x14ac:dyDescent="0.25">
      <c r="A61" t="s">
        <v>571</v>
      </c>
      <c r="B61">
        <v>59</v>
      </c>
      <c r="C61" t="s">
        <v>602</v>
      </c>
      <c r="D61" t="s">
        <v>15</v>
      </c>
      <c r="E61" t="s">
        <v>557</v>
      </c>
      <c r="F61">
        <v>0</v>
      </c>
      <c r="G61">
        <v>1</v>
      </c>
      <c r="H61" s="3">
        <v>10024</v>
      </c>
    </row>
    <row r="62" spans="1:8" x14ac:dyDescent="0.25">
      <c r="A62" t="s">
        <v>572</v>
      </c>
      <c r="B62">
        <v>60</v>
      </c>
      <c r="C62" t="s">
        <v>603</v>
      </c>
      <c r="D62" t="s">
        <v>15</v>
      </c>
      <c r="E62" t="s">
        <v>557</v>
      </c>
      <c r="F62">
        <v>0</v>
      </c>
      <c r="G62">
        <v>1</v>
      </c>
      <c r="H62" s="3">
        <v>10025</v>
      </c>
    </row>
    <row r="63" spans="1:8" x14ac:dyDescent="0.25">
      <c r="A63" t="s">
        <v>573</v>
      </c>
      <c r="B63">
        <v>61</v>
      </c>
      <c r="C63" t="s">
        <v>604</v>
      </c>
      <c r="D63" t="s">
        <v>15</v>
      </c>
      <c r="E63" t="s">
        <v>557</v>
      </c>
      <c r="F63">
        <v>0</v>
      </c>
      <c r="G63">
        <v>1</v>
      </c>
      <c r="H63" s="3">
        <v>10026</v>
      </c>
    </row>
    <row r="64" spans="1:8" x14ac:dyDescent="0.25">
      <c r="A64" t="s">
        <v>574</v>
      </c>
      <c r="B64">
        <v>62</v>
      </c>
      <c r="C64" t="s">
        <v>605</v>
      </c>
      <c r="D64" t="s">
        <v>15</v>
      </c>
      <c r="E64" t="s">
        <v>557</v>
      </c>
      <c r="F64">
        <v>0</v>
      </c>
      <c r="G64">
        <v>1</v>
      </c>
      <c r="H64" s="3">
        <v>10027</v>
      </c>
    </row>
    <row r="65" spans="1:8" x14ac:dyDescent="0.25">
      <c r="A65" t="s">
        <v>575</v>
      </c>
      <c r="B65">
        <v>63</v>
      </c>
      <c r="C65" t="s">
        <v>606</v>
      </c>
      <c r="D65" t="s">
        <v>15</v>
      </c>
      <c r="E65" t="s">
        <v>557</v>
      </c>
      <c r="F65">
        <v>0</v>
      </c>
      <c r="G65">
        <v>1</v>
      </c>
      <c r="H65" s="3">
        <v>10028</v>
      </c>
    </row>
    <row r="66" spans="1:8" x14ac:dyDescent="0.25">
      <c r="A66" t="s">
        <v>576</v>
      </c>
      <c r="B66">
        <v>64</v>
      </c>
      <c r="C66" t="s">
        <v>607</v>
      </c>
      <c r="D66" t="s">
        <v>15</v>
      </c>
      <c r="E66" t="s">
        <v>557</v>
      </c>
      <c r="F66">
        <v>0</v>
      </c>
      <c r="G66">
        <v>1</v>
      </c>
      <c r="H66" s="3">
        <v>10029</v>
      </c>
    </row>
    <row r="67" spans="1:8" x14ac:dyDescent="0.25">
      <c r="A67" t="s">
        <v>577</v>
      </c>
      <c r="B67">
        <v>65</v>
      </c>
      <c r="C67" t="s">
        <v>608</v>
      </c>
      <c r="D67" t="s">
        <v>15</v>
      </c>
      <c r="E67" t="s">
        <v>557</v>
      </c>
      <c r="F67">
        <v>0</v>
      </c>
      <c r="G67">
        <v>1</v>
      </c>
      <c r="H67" s="3">
        <v>10030</v>
      </c>
    </row>
    <row r="68" spans="1:8" x14ac:dyDescent="0.25">
      <c r="A68" t="s">
        <v>578</v>
      </c>
      <c r="B68">
        <v>66</v>
      </c>
      <c r="C68" t="s">
        <v>609</v>
      </c>
      <c r="D68" t="s">
        <v>15</v>
      </c>
      <c r="E68" t="s">
        <v>557</v>
      </c>
      <c r="F68">
        <v>0</v>
      </c>
      <c r="G68">
        <v>1</v>
      </c>
      <c r="H68" s="3">
        <v>10031</v>
      </c>
    </row>
    <row r="69" spans="1:8" x14ac:dyDescent="0.25">
      <c r="A69" t="s">
        <v>579</v>
      </c>
      <c r="B69">
        <v>67</v>
      </c>
      <c r="C69" t="s">
        <v>610</v>
      </c>
      <c r="D69" t="s">
        <v>15</v>
      </c>
      <c r="E69" t="s">
        <v>557</v>
      </c>
      <c r="F69">
        <v>0</v>
      </c>
      <c r="G69">
        <v>1</v>
      </c>
      <c r="H69" s="3">
        <v>10032</v>
      </c>
    </row>
    <row r="70" spans="1:8" x14ac:dyDescent="0.25">
      <c r="A70" t="s">
        <v>611</v>
      </c>
      <c r="B70">
        <v>68</v>
      </c>
      <c r="C70" t="s">
        <v>617</v>
      </c>
      <c r="D70" t="s">
        <v>2</v>
      </c>
      <c r="E70" t="s">
        <v>557</v>
      </c>
      <c r="F70">
        <v>0</v>
      </c>
      <c r="G70">
        <v>360</v>
      </c>
      <c r="H70" s="3">
        <v>30009</v>
      </c>
    </row>
    <row r="71" spans="1:8" x14ac:dyDescent="0.25">
      <c r="A71" t="s">
        <v>612</v>
      </c>
      <c r="B71">
        <v>69</v>
      </c>
      <c r="C71" t="s">
        <v>618</v>
      </c>
      <c r="D71" t="s">
        <v>2</v>
      </c>
      <c r="E71" t="s">
        <v>557</v>
      </c>
      <c r="F71">
        <v>0</v>
      </c>
      <c r="G71">
        <v>9999</v>
      </c>
      <c r="H71" s="3">
        <v>30010</v>
      </c>
    </row>
    <row r="72" spans="1:8" x14ac:dyDescent="0.25">
      <c r="A72" t="s">
        <v>66</v>
      </c>
      <c r="B72">
        <v>70</v>
      </c>
      <c r="C72" t="s">
        <v>619</v>
      </c>
      <c r="D72" t="s">
        <v>2</v>
      </c>
      <c r="E72" t="s">
        <v>557</v>
      </c>
      <c r="F72">
        <v>0</v>
      </c>
      <c r="G72">
        <v>10000</v>
      </c>
      <c r="H72" s="3">
        <v>30011</v>
      </c>
    </row>
    <row r="73" spans="1:8" x14ac:dyDescent="0.25">
      <c r="A73" t="s">
        <v>613</v>
      </c>
      <c r="B73">
        <v>71</v>
      </c>
      <c r="C73" t="s">
        <v>620</v>
      </c>
      <c r="D73" t="s">
        <v>2</v>
      </c>
      <c r="E73" t="s">
        <v>557</v>
      </c>
      <c r="F73">
        <v>0</v>
      </c>
      <c r="G73">
        <v>1024</v>
      </c>
      <c r="H73" s="3">
        <v>30012</v>
      </c>
    </row>
    <row r="74" spans="1:8" x14ac:dyDescent="0.25">
      <c r="A74" t="s">
        <v>614</v>
      </c>
      <c r="B74">
        <v>72</v>
      </c>
      <c r="C74" t="s">
        <v>621</v>
      </c>
      <c r="D74" t="s">
        <v>2</v>
      </c>
      <c r="E74" t="s">
        <v>557</v>
      </c>
      <c r="F74">
        <v>0</v>
      </c>
      <c r="G74">
        <v>1024</v>
      </c>
      <c r="H74" s="3">
        <v>30013</v>
      </c>
    </row>
    <row r="75" spans="1:8" x14ac:dyDescent="0.25">
      <c r="A75" t="s">
        <v>615</v>
      </c>
      <c r="B75">
        <v>73</v>
      </c>
      <c r="C75" t="s">
        <v>622</v>
      </c>
      <c r="D75" t="s">
        <v>2</v>
      </c>
      <c r="E75" t="s">
        <v>557</v>
      </c>
      <c r="F75">
        <v>0</v>
      </c>
      <c r="G75">
        <v>100</v>
      </c>
      <c r="H75" s="3">
        <v>30014</v>
      </c>
    </row>
    <row r="76" spans="1:8" x14ac:dyDescent="0.25">
      <c r="A76" t="s">
        <v>616</v>
      </c>
      <c r="B76">
        <v>74</v>
      </c>
      <c r="C76" t="s">
        <v>623</v>
      </c>
      <c r="D76" t="s">
        <v>624</v>
      </c>
      <c r="E76" t="s">
        <v>557</v>
      </c>
      <c r="H76" s="3">
        <v>30015</v>
      </c>
    </row>
    <row r="77" spans="1:8" x14ac:dyDescent="0.25">
      <c r="A77" t="s">
        <v>625</v>
      </c>
      <c r="B77">
        <v>75</v>
      </c>
      <c r="C77" t="s">
        <v>628</v>
      </c>
      <c r="D77" t="s">
        <v>631</v>
      </c>
      <c r="E77" t="s">
        <v>557</v>
      </c>
      <c r="H77" s="3" t="s">
        <v>634</v>
      </c>
    </row>
    <row r="78" spans="1:8" x14ac:dyDescent="0.25">
      <c r="A78" t="s">
        <v>626</v>
      </c>
      <c r="B78">
        <v>76</v>
      </c>
      <c r="C78" t="s">
        <v>629</v>
      </c>
      <c r="D78" t="s">
        <v>632</v>
      </c>
      <c r="E78" t="s">
        <v>557</v>
      </c>
      <c r="H78" s="3" t="s">
        <v>635</v>
      </c>
    </row>
    <row r="79" spans="1:8" x14ac:dyDescent="0.25">
      <c r="A79" t="s">
        <v>627</v>
      </c>
      <c r="B79">
        <v>77</v>
      </c>
      <c r="C79" t="s">
        <v>630</v>
      </c>
      <c r="D79" t="s">
        <v>633</v>
      </c>
      <c r="E79" t="s">
        <v>557</v>
      </c>
      <c r="H79" s="3" t="s">
        <v>636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J6" sqref="J6:K9"/>
    </sheetView>
  </sheetViews>
  <sheetFormatPr defaultRowHeight="15" x14ac:dyDescent="0.25"/>
  <cols>
    <col min="1" max="1" width="39" bestFit="1" customWidth="1"/>
    <col min="2" max="2" width="4" bestFit="1" customWidth="1"/>
    <col min="3" max="3" width="13.425781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bestFit="1" customWidth="1"/>
    <col min="10" max="10" width="31.5703125" bestFit="1" customWidth="1"/>
    <col min="11" max="11" width="9.140625" style="7"/>
  </cols>
  <sheetData>
    <row r="1" spans="1:11" s="13" customFormat="1" x14ac:dyDescent="0.25">
      <c r="A1" s="22" t="s">
        <v>141</v>
      </c>
      <c r="B1" s="22" t="s">
        <v>150</v>
      </c>
      <c r="C1" s="22" t="s">
        <v>142</v>
      </c>
      <c r="D1" s="22" t="s">
        <v>144</v>
      </c>
      <c r="E1" s="22" t="s">
        <v>143</v>
      </c>
      <c r="F1" s="22" t="s">
        <v>145</v>
      </c>
      <c r="G1" s="22" t="s">
        <v>146</v>
      </c>
      <c r="H1" s="6" t="s">
        <v>469</v>
      </c>
      <c r="J1" s="15" t="s">
        <v>482</v>
      </c>
      <c r="K1" s="17" t="s">
        <v>695</v>
      </c>
    </row>
    <row r="2" spans="1:11" s="13" customFormat="1" x14ac:dyDescent="0.25">
      <c r="A2" s="22"/>
      <c r="B2" s="22"/>
      <c r="C2" s="22"/>
      <c r="D2" s="22"/>
      <c r="E2" s="22"/>
      <c r="F2" s="22"/>
      <c r="G2" s="22"/>
      <c r="H2" s="6">
        <v>1</v>
      </c>
      <c r="J2" s="15" t="s">
        <v>483</v>
      </c>
      <c r="K2" s="17">
        <v>18</v>
      </c>
    </row>
    <row r="3" spans="1:11" x14ac:dyDescent="0.25">
      <c r="A3" t="s">
        <v>117</v>
      </c>
      <c r="B3">
        <v>1</v>
      </c>
      <c r="C3" t="s">
        <v>489</v>
      </c>
      <c r="D3" t="s">
        <v>2</v>
      </c>
      <c r="E3" t="s">
        <v>468</v>
      </c>
      <c r="F3">
        <v>1</v>
      </c>
      <c r="G3">
        <v>16</v>
      </c>
      <c r="H3">
        <v>40014</v>
      </c>
      <c r="J3" s="15" t="s">
        <v>484</v>
      </c>
      <c r="K3" s="7">
        <v>3</v>
      </c>
    </row>
    <row r="4" spans="1:11" x14ac:dyDescent="0.25">
      <c r="A4" t="s">
        <v>118</v>
      </c>
      <c r="B4">
        <v>2</v>
      </c>
      <c r="C4" t="s">
        <v>490</v>
      </c>
      <c r="D4" t="s">
        <v>2</v>
      </c>
      <c r="E4" t="s">
        <v>468</v>
      </c>
      <c r="F4">
        <v>2</v>
      </c>
      <c r="G4">
        <v>4</v>
      </c>
      <c r="H4">
        <v>40015</v>
      </c>
      <c r="J4" s="15" t="s">
        <v>486</v>
      </c>
      <c r="K4" s="7" t="s">
        <v>485</v>
      </c>
    </row>
    <row r="5" spans="1:11" x14ac:dyDescent="0.25">
      <c r="A5" t="s">
        <v>496</v>
      </c>
      <c r="B5">
        <v>3</v>
      </c>
      <c r="C5" t="s">
        <v>491</v>
      </c>
      <c r="D5" t="s">
        <v>2</v>
      </c>
      <c r="E5" t="s">
        <v>468</v>
      </c>
      <c r="F5">
        <v>1</v>
      </c>
      <c r="G5">
        <v>16</v>
      </c>
      <c r="H5">
        <v>40017</v>
      </c>
      <c r="J5" s="15" t="s">
        <v>487</v>
      </c>
      <c r="K5" s="7" t="s">
        <v>488</v>
      </c>
    </row>
    <row r="6" spans="1:11" x14ac:dyDescent="0.25">
      <c r="A6" t="s">
        <v>119</v>
      </c>
      <c r="B6">
        <v>4</v>
      </c>
      <c r="C6" t="s">
        <v>492</v>
      </c>
      <c r="D6" t="s">
        <v>2</v>
      </c>
      <c r="E6" t="s">
        <v>468</v>
      </c>
      <c r="F6">
        <v>200</v>
      </c>
      <c r="G6">
        <v>3000</v>
      </c>
      <c r="H6">
        <v>40018</v>
      </c>
      <c r="J6" s="15" t="s">
        <v>697</v>
      </c>
      <c r="K6" s="7">
        <v>1</v>
      </c>
    </row>
    <row r="7" spans="1:11" x14ac:dyDescent="0.25">
      <c r="A7" t="s">
        <v>497</v>
      </c>
      <c r="B7">
        <v>5</v>
      </c>
      <c r="C7" t="s">
        <v>493</v>
      </c>
      <c r="D7" t="s">
        <v>2</v>
      </c>
      <c r="E7" t="s">
        <v>468</v>
      </c>
      <c r="F7">
        <v>0</v>
      </c>
      <c r="G7">
        <v>90</v>
      </c>
      <c r="H7">
        <v>40032</v>
      </c>
      <c r="J7" s="15" t="s">
        <v>698</v>
      </c>
      <c r="K7" s="7">
        <v>7</v>
      </c>
    </row>
    <row r="8" spans="1:11" x14ac:dyDescent="0.25">
      <c r="A8" t="s">
        <v>498</v>
      </c>
      <c r="B8">
        <v>6</v>
      </c>
      <c r="C8" t="s">
        <v>494</v>
      </c>
      <c r="D8" t="s">
        <v>650</v>
      </c>
      <c r="E8" t="s">
        <v>468</v>
      </c>
      <c r="F8">
        <v>30001</v>
      </c>
      <c r="G8">
        <v>30999</v>
      </c>
      <c r="H8">
        <v>40039</v>
      </c>
      <c r="J8" s="15" t="s">
        <v>699</v>
      </c>
      <c r="K8" s="7" t="s">
        <v>703</v>
      </c>
    </row>
    <row r="9" spans="1:11" x14ac:dyDescent="0.25">
      <c r="A9" t="s">
        <v>127</v>
      </c>
      <c r="B9">
        <v>7</v>
      </c>
      <c r="C9" t="s">
        <v>495</v>
      </c>
      <c r="D9" t="s">
        <v>650</v>
      </c>
      <c r="E9" t="s">
        <v>468</v>
      </c>
      <c r="F9">
        <v>40001</v>
      </c>
      <c r="G9">
        <v>40999</v>
      </c>
      <c r="H9">
        <v>40041</v>
      </c>
      <c r="J9" s="15" t="s">
        <v>701</v>
      </c>
      <c r="K9" s="7">
        <v>102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tabSelected="1" workbookViewId="0">
      <selection activeCell="K7" sqref="K7"/>
    </sheetView>
  </sheetViews>
  <sheetFormatPr defaultRowHeight="15" x14ac:dyDescent="0.25"/>
  <cols>
    <col min="1" max="1" width="39" bestFit="1" customWidth="1"/>
    <col min="2" max="2" width="4" bestFit="1" customWidth="1"/>
    <col min="3" max="3" width="13.425781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bestFit="1" customWidth="1"/>
    <col min="10" max="10" width="31.5703125" bestFit="1" customWidth="1"/>
    <col min="11" max="11" width="11.5703125" style="7" bestFit="1" customWidth="1"/>
  </cols>
  <sheetData>
    <row r="1" spans="1:11" s="13" customFormat="1" x14ac:dyDescent="0.25">
      <c r="A1" s="22" t="s">
        <v>141</v>
      </c>
      <c r="B1" s="22" t="s">
        <v>150</v>
      </c>
      <c r="C1" s="22" t="s">
        <v>142</v>
      </c>
      <c r="D1" s="22" t="s">
        <v>144</v>
      </c>
      <c r="E1" s="22" t="s">
        <v>143</v>
      </c>
      <c r="F1" s="22" t="s">
        <v>145</v>
      </c>
      <c r="G1" s="22" t="s">
        <v>146</v>
      </c>
      <c r="H1" s="6" t="s">
        <v>469</v>
      </c>
      <c r="J1" s="15" t="s">
        <v>482</v>
      </c>
      <c r="K1" s="17" t="s">
        <v>696</v>
      </c>
    </row>
    <row r="2" spans="1:11" s="13" customFormat="1" x14ac:dyDescent="0.25">
      <c r="A2" s="22"/>
      <c r="B2" s="22"/>
      <c r="C2" s="22"/>
      <c r="D2" s="22"/>
      <c r="E2" s="22"/>
      <c r="F2" s="22"/>
      <c r="G2" s="22"/>
      <c r="H2" s="6">
        <v>1</v>
      </c>
      <c r="J2" s="15" t="s">
        <v>483</v>
      </c>
      <c r="K2" s="17">
        <v>19</v>
      </c>
    </row>
    <row r="3" spans="1:11" x14ac:dyDescent="0.25">
      <c r="A3" t="s">
        <v>151</v>
      </c>
      <c r="B3">
        <v>1</v>
      </c>
      <c r="C3" t="s">
        <v>147</v>
      </c>
      <c r="D3" t="s">
        <v>2</v>
      </c>
      <c r="E3" t="s">
        <v>468</v>
      </c>
      <c r="F3">
        <v>0</v>
      </c>
      <c r="G3">
        <v>8</v>
      </c>
      <c r="H3">
        <v>40050</v>
      </c>
      <c r="J3" s="15" t="s">
        <v>484</v>
      </c>
      <c r="K3" s="7">
        <v>4</v>
      </c>
    </row>
    <row r="4" spans="1:11" x14ac:dyDescent="0.25">
      <c r="A4" t="s">
        <v>152</v>
      </c>
      <c r="B4">
        <v>2</v>
      </c>
      <c r="C4" t="s">
        <v>148</v>
      </c>
      <c r="D4" t="s">
        <v>2</v>
      </c>
      <c r="E4" t="s">
        <v>468</v>
      </c>
      <c r="F4">
        <v>0</v>
      </c>
      <c r="G4">
        <v>63</v>
      </c>
      <c r="H4">
        <v>40051</v>
      </c>
      <c r="J4" s="15" t="s">
        <v>486</v>
      </c>
      <c r="K4" s="7" t="s">
        <v>485</v>
      </c>
    </row>
    <row r="5" spans="1:11" x14ac:dyDescent="0.25">
      <c r="A5" t="s">
        <v>153</v>
      </c>
      <c r="B5">
        <v>3</v>
      </c>
      <c r="C5" t="s">
        <v>149</v>
      </c>
      <c r="D5" t="s">
        <v>2</v>
      </c>
      <c r="E5" t="s">
        <v>468</v>
      </c>
      <c r="F5">
        <v>0</v>
      </c>
      <c r="G5">
        <v>63</v>
      </c>
      <c r="H5">
        <v>40052</v>
      </c>
      <c r="J5" s="15" t="s">
        <v>487</v>
      </c>
      <c r="K5" s="7" t="s">
        <v>488</v>
      </c>
    </row>
    <row r="6" spans="1:11" x14ac:dyDescent="0.25">
      <c r="A6" t="s">
        <v>154</v>
      </c>
      <c r="B6">
        <v>4</v>
      </c>
      <c r="C6" t="s">
        <v>157</v>
      </c>
      <c r="D6" t="s">
        <v>2</v>
      </c>
      <c r="E6" t="s">
        <v>468</v>
      </c>
      <c r="F6">
        <v>0</v>
      </c>
      <c r="G6">
        <v>31</v>
      </c>
      <c r="H6">
        <v>40053</v>
      </c>
      <c r="J6" s="15" t="s">
        <v>697</v>
      </c>
      <c r="K6" s="7">
        <v>1</v>
      </c>
    </row>
    <row r="7" spans="1:11" x14ac:dyDescent="0.25">
      <c r="A7" t="s">
        <v>155</v>
      </c>
      <c r="B7">
        <v>5</v>
      </c>
      <c r="C7" t="s">
        <v>158</v>
      </c>
      <c r="D7" t="s">
        <v>2</v>
      </c>
      <c r="E7" t="s">
        <v>468</v>
      </c>
      <c r="F7">
        <v>0</v>
      </c>
      <c r="G7">
        <v>63</v>
      </c>
      <c r="H7">
        <v>40054</v>
      </c>
      <c r="J7" s="15" t="s">
        <v>698</v>
      </c>
      <c r="K7" s="7">
        <v>166</v>
      </c>
    </row>
    <row r="8" spans="1:11" x14ac:dyDescent="0.25">
      <c r="A8" t="s">
        <v>156</v>
      </c>
      <c r="B8">
        <v>6</v>
      </c>
      <c r="C8" t="s">
        <v>159</v>
      </c>
      <c r="D8" t="s">
        <v>2</v>
      </c>
      <c r="E8" t="s">
        <v>468</v>
      </c>
      <c r="F8">
        <v>0</v>
      </c>
      <c r="G8">
        <v>63</v>
      </c>
      <c r="H8">
        <v>40055</v>
      </c>
      <c r="J8" s="15" t="s">
        <v>699</v>
      </c>
      <c r="K8" s="7" t="s">
        <v>704</v>
      </c>
    </row>
    <row r="9" spans="1:11" x14ac:dyDescent="0.25">
      <c r="A9" t="s">
        <v>164</v>
      </c>
      <c r="B9">
        <v>7</v>
      </c>
      <c r="C9" t="s">
        <v>160</v>
      </c>
      <c r="D9" t="s">
        <v>2</v>
      </c>
      <c r="E9" t="s">
        <v>468</v>
      </c>
      <c r="F9">
        <v>0</v>
      </c>
      <c r="G9">
        <v>31</v>
      </c>
      <c r="H9">
        <v>40056</v>
      </c>
      <c r="J9" s="15" t="s">
        <v>701</v>
      </c>
      <c r="K9" s="7">
        <v>768</v>
      </c>
    </row>
    <row r="10" spans="1:11" x14ac:dyDescent="0.25">
      <c r="A10" t="s">
        <v>165</v>
      </c>
      <c r="B10">
        <v>8</v>
      </c>
      <c r="C10" t="s">
        <v>161</v>
      </c>
      <c r="D10" t="s">
        <v>2</v>
      </c>
      <c r="E10" t="s">
        <v>468</v>
      </c>
      <c r="F10">
        <v>-500</v>
      </c>
      <c r="G10">
        <v>500</v>
      </c>
      <c r="H10">
        <v>40060</v>
      </c>
    </row>
    <row r="11" spans="1:11" x14ac:dyDescent="0.25">
      <c r="A11" t="s">
        <v>166</v>
      </c>
      <c r="B11">
        <v>9</v>
      </c>
      <c r="C11" t="s">
        <v>162</v>
      </c>
      <c r="D11" t="s">
        <v>2</v>
      </c>
      <c r="E11" t="s">
        <v>468</v>
      </c>
      <c r="F11">
        <v>-500</v>
      </c>
      <c r="G11">
        <v>500</v>
      </c>
      <c r="H11">
        <v>40061</v>
      </c>
    </row>
    <row r="12" spans="1:11" x14ac:dyDescent="0.25">
      <c r="A12" t="s">
        <v>167</v>
      </c>
      <c r="B12">
        <v>10</v>
      </c>
      <c r="C12" t="s">
        <v>163</v>
      </c>
      <c r="D12" t="s">
        <v>2</v>
      </c>
      <c r="E12" t="s">
        <v>468</v>
      </c>
      <c r="F12">
        <v>1</v>
      </c>
      <c r="G12">
        <v>16</v>
      </c>
      <c r="H12">
        <v>40065</v>
      </c>
    </row>
    <row r="13" spans="1:11" x14ac:dyDescent="0.25">
      <c r="A13" t="s">
        <v>168</v>
      </c>
      <c r="B13">
        <v>11</v>
      </c>
      <c r="C13" t="s">
        <v>318</v>
      </c>
      <c r="D13" t="s">
        <v>2</v>
      </c>
      <c r="E13" t="s">
        <v>468</v>
      </c>
      <c r="F13">
        <v>0</v>
      </c>
      <c r="G13">
        <v>8</v>
      </c>
      <c r="H13">
        <f>H3+20</f>
        <v>40070</v>
      </c>
    </row>
    <row r="14" spans="1:11" x14ac:dyDescent="0.25">
      <c r="A14" t="s">
        <v>169</v>
      </c>
      <c r="B14">
        <v>12</v>
      </c>
      <c r="C14" t="s">
        <v>319</v>
      </c>
      <c r="D14" t="s">
        <v>2</v>
      </c>
      <c r="E14" t="s">
        <v>468</v>
      </c>
      <c r="F14">
        <v>0</v>
      </c>
      <c r="G14">
        <v>63</v>
      </c>
      <c r="H14">
        <f t="shared" ref="H14:H77" si="0">H4+20</f>
        <v>40071</v>
      </c>
    </row>
    <row r="15" spans="1:11" x14ac:dyDescent="0.25">
      <c r="A15" t="s">
        <v>170</v>
      </c>
      <c r="B15">
        <v>13</v>
      </c>
      <c r="C15" t="s">
        <v>320</v>
      </c>
      <c r="D15" t="s">
        <v>2</v>
      </c>
      <c r="E15" t="s">
        <v>468</v>
      </c>
      <c r="F15">
        <v>0</v>
      </c>
      <c r="G15">
        <v>63</v>
      </c>
      <c r="H15">
        <f t="shared" si="0"/>
        <v>40072</v>
      </c>
    </row>
    <row r="16" spans="1:11" x14ac:dyDescent="0.25">
      <c r="A16" t="s">
        <v>171</v>
      </c>
      <c r="B16">
        <v>14</v>
      </c>
      <c r="C16" t="s">
        <v>321</v>
      </c>
      <c r="D16" t="s">
        <v>2</v>
      </c>
      <c r="E16" t="s">
        <v>468</v>
      </c>
      <c r="F16">
        <v>0</v>
      </c>
      <c r="G16">
        <v>31</v>
      </c>
      <c r="H16">
        <f t="shared" si="0"/>
        <v>40073</v>
      </c>
    </row>
    <row r="17" spans="1:8" x14ac:dyDescent="0.25">
      <c r="A17" t="s">
        <v>172</v>
      </c>
      <c r="B17">
        <v>15</v>
      </c>
      <c r="C17" t="s">
        <v>322</v>
      </c>
      <c r="D17" t="s">
        <v>2</v>
      </c>
      <c r="E17" t="s">
        <v>468</v>
      </c>
      <c r="F17">
        <v>0</v>
      </c>
      <c r="G17">
        <v>63</v>
      </c>
      <c r="H17">
        <f t="shared" si="0"/>
        <v>40074</v>
      </c>
    </row>
    <row r="18" spans="1:8" x14ac:dyDescent="0.25">
      <c r="A18" t="s">
        <v>173</v>
      </c>
      <c r="B18">
        <v>16</v>
      </c>
      <c r="C18" t="s">
        <v>323</v>
      </c>
      <c r="D18" t="s">
        <v>2</v>
      </c>
      <c r="E18" t="s">
        <v>468</v>
      </c>
      <c r="F18">
        <v>0</v>
      </c>
      <c r="G18">
        <v>63</v>
      </c>
      <c r="H18">
        <f t="shared" si="0"/>
        <v>40075</v>
      </c>
    </row>
    <row r="19" spans="1:8" x14ac:dyDescent="0.25">
      <c r="A19" t="s">
        <v>174</v>
      </c>
      <c r="B19">
        <v>17</v>
      </c>
      <c r="C19" t="s">
        <v>324</v>
      </c>
      <c r="D19" t="s">
        <v>2</v>
      </c>
      <c r="E19" t="s">
        <v>468</v>
      </c>
      <c r="F19">
        <v>0</v>
      </c>
      <c r="G19">
        <v>31</v>
      </c>
      <c r="H19">
        <f t="shared" si="0"/>
        <v>40076</v>
      </c>
    </row>
    <row r="20" spans="1:8" x14ac:dyDescent="0.25">
      <c r="A20" t="s">
        <v>175</v>
      </c>
      <c r="B20">
        <v>18</v>
      </c>
      <c r="C20" t="s">
        <v>325</v>
      </c>
      <c r="D20" t="s">
        <v>2</v>
      </c>
      <c r="E20" t="s">
        <v>468</v>
      </c>
      <c r="F20">
        <v>-500</v>
      </c>
      <c r="G20">
        <v>500</v>
      </c>
      <c r="H20">
        <f t="shared" si="0"/>
        <v>40080</v>
      </c>
    </row>
    <row r="21" spans="1:8" x14ac:dyDescent="0.25">
      <c r="A21" t="s">
        <v>176</v>
      </c>
      <c r="B21">
        <v>19</v>
      </c>
      <c r="C21" t="s">
        <v>326</v>
      </c>
      <c r="D21" t="s">
        <v>2</v>
      </c>
      <c r="E21" t="s">
        <v>468</v>
      </c>
      <c r="F21">
        <v>-500</v>
      </c>
      <c r="G21">
        <v>500</v>
      </c>
      <c r="H21">
        <f t="shared" si="0"/>
        <v>40081</v>
      </c>
    </row>
    <row r="22" spans="1:8" x14ac:dyDescent="0.25">
      <c r="A22" t="s">
        <v>177</v>
      </c>
      <c r="B22">
        <v>20</v>
      </c>
      <c r="C22" t="s">
        <v>327</v>
      </c>
      <c r="D22" t="s">
        <v>2</v>
      </c>
      <c r="E22" t="s">
        <v>468</v>
      </c>
      <c r="F22">
        <v>1</v>
      </c>
      <c r="G22">
        <v>16</v>
      </c>
      <c r="H22">
        <f t="shared" si="0"/>
        <v>40085</v>
      </c>
    </row>
    <row r="23" spans="1:8" x14ac:dyDescent="0.25">
      <c r="A23" t="s">
        <v>178</v>
      </c>
      <c r="B23">
        <v>21</v>
      </c>
      <c r="C23" t="s">
        <v>328</v>
      </c>
      <c r="D23" t="s">
        <v>2</v>
      </c>
      <c r="E23" t="s">
        <v>468</v>
      </c>
      <c r="F23">
        <v>0</v>
      </c>
      <c r="G23">
        <v>8</v>
      </c>
      <c r="H23">
        <f t="shared" si="0"/>
        <v>40090</v>
      </c>
    </row>
    <row r="24" spans="1:8" x14ac:dyDescent="0.25">
      <c r="A24" t="s">
        <v>179</v>
      </c>
      <c r="B24">
        <v>22</v>
      </c>
      <c r="C24" t="s">
        <v>329</v>
      </c>
      <c r="D24" t="s">
        <v>2</v>
      </c>
      <c r="E24" t="s">
        <v>468</v>
      </c>
      <c r="F24">
        <v>0</v>
      </c>
      <c r="G24">
        <v>63</v>
      </c>
      <c r="H24">
        <f t="shared" si="0"/>
        <v>40091</v>
      </c>
    </row>
    <row r="25" spans="1:8" x14ac:dyDescent="0.25">
      <c r="A25" t="s">
        <v>180</v>
      </c>
      <c r="B25">
        <v>23</v>
      </c>
      <c r="C25" t="s">
        <v>330</v>
      </c>
      <c r="D25" t="s">
        <v>2</v>
      </c>
      <c r="E25" t="s">
        <v>468</v>
      </c>
      <c r="F25">
        <v>0</v>
      </c>
      <c r="G25">
        <v>63</v>
      </c>
      <c r="H25">
        <f t="shared" si="0"/>
        <v>40092</v>
      </c>
    </row>
    <row r="26" spans="1:8" x14ac:dyDescent="0.25">
      <c r="A26" t="s">
        <v>181</v>
      </c>
      <c r="B26">
        <v>24</v>
      </c>
      <c r="C26" t="s">
        <v>331</v>
      </c>
      <c r="D26" t="s">
        <v>2</v>
      </c>
      <c r="E26" t="s">
        <v>468</v>
      </c>
      <c r="F26">
        <v>0</v>
      </c>
      <c r="G26">
        <v>31</v>
      </c>
      <c r="H26">
        <f t="shared" si="0"/>
        <v>40093</v>
      </c>
    </row>
    <row r="27" spans="1:8" x14ac:dyDescent="0.25">
      <c r="A27" t="s">
        <v>182</v>
      </c>
      <c r="B27">
        <v>25</v>
      </c>
      <c r="C27" t="s">
        <v>332</v>
      </c>
      <c r="D27" t="s">
        <v>2</v>
      </c>
      <c r="E27" t="s">
        <v>468</v>
      </c>
      <c r="F27">
        <v>0</v>
      </c>
      <c r="G27">
        <v>63</v>
      </c>
      <c r="H27">
        <f t="shared" si="0"/>
        <v>40094</v>
      </c>
    </row>
    <row r="28" spans="1:8" x14ac:dyDescent="0.25">
      <c r="A28" t="s">
        <v>183</v>
      </c>
      <c r="B28">
        <v>26</v>
      </c>
      <c r="C28" t="s">
        <v>333</v>
      </c>
      <c r="D28" t="s">
        <v>2</v>
      </c>
      <c r="E28" t="s">
        <v>468</v>
      </c>
      <c r="F28">
        <v>0</v>
      </c>
      <c r="G28">
        <v>63</v>
      </c>
      <c r="H28">
        <f t="shared" si="0"/>
        <v>40095</v>
      </c>
    </row>
    <row r="29" spans="1:8" x14ac:dyDescent="0.25">
      <c r="A29" t="s">
        <v>184</v>
      </c>
      <c r="B29">
        <v>27</v>
      </c>
      <c r="C29" t="s">
        <v>334</v>
      </c>
      <c r="D29" t="s">
        <v>2</v>
      </c>
      <c r="E29" t="s">
        <v>468</v>
      </c>
      <c r="F29">
        <v>0</v>
      </c>
      <c r="G29">
        <v>31</v>
      </c>
      <c r="H29">
        <f t="shared" si="0"/>
        <v>40096</v>
      </c>
    </row>
    <row r="30" spans="1:8" x14ac:dyDescent="0.25">
      <c r="A30" t="s">
        <v>185</v>
      </c>
      <c r="B30">
        <v>28</v>
      </c>
      <c r="C30" t="s">
        <v>335</v>
      </c>
      <c r="D30" t="s">
        <v>2</v>
      </c>
      <c r="E30" t="s">
        <v>468</v>
      </c>
      <c r="F30">
        <v>-500</v>
      </c>
      <c r="G30">
        <v>500</v>
      </c>
      <c r="H30">
        <f t="shared" si="0"/>
        <v>40100</v>
      </c>
    </row>
    <row r="31" spans="1:8" x14ac:dyDescent="0.25">
      <c r="A31" t="s">
        <v>186</v>
      </c>
      <c r="B31">
        <v>29</v>
      </c>
      <c r="C31" t="s">
        <v>336</v>
      </c>
      <c r="D31" t="s">
        <v>2</v>
      </c>
      <c r="E31" t="s">
        <v>468</v>
      </c>
      <c r="F31">
        <v>-500</v>
      </c>
      <c r="G31">
        <v>500</v>
      </c>
      <c r="H31">
        <f t="shared" si="0"/>
        <v>40101</v>
      </c>
    </row>
    <row r="32" spans="1:8" x14ac:dyDescent="0.25">
      <c r="A32" t="s">
        <v>187</v>
      </c>
      <c r="B32">
        <v>30</v>
      </c>
      <c r="C32" t="s">
        <v>337</v>
      </c>
      <c r="D32" t="s">
        <v>2</v>
      </c>
      <c r="E32" t="s">
        <v>468</v>
      </c>
      <c r="F32">
        <v>1</v>
      </c>
      <c r="G32">
        <v>16</v>
      </c>
      <c r="H32">
        <f t="shared" si="0"/>
        <v>40105</v>
      </c>
    </row>
    <row r="33" spans="1:8" x14ac:dyDescent="0.25">
      <c r="A33" t="s">
        <v>188</v>
      </c>
      <c r="B33">
        <v>31</v>
      </c>
      <c r="C33" t="s">
        <v>338</v>
      </c>
      <c r="D33" t="s">
        <v>2</v>
      </c>
      <c r="E33" t="s">
        <v>468</v>
      </c>
      <c r="F33">
        <v>0</v>
      </c>
      <c r="G33">
        <v>8</v>
      </c>
      <c r="H33">
        <f t="shared" si="0"/>
        <v>40110</v>
      </c>
    </row>
    <row r="34" spans="1:8" x14ac:dyDescent="0.25">
      <c r="A34" t="s">
        <v>189</v>
      </c>
      <c r="B34">
        <v>32</v>
      </c>
      <c r="C34" t="s">
        <v>339</v>
      </c>
      <c r="D34" t="s">
        <v>2</v>
      </c>
      <c r="E34" t="s">
        <v>468</v>
      </c>
      <c r="F34">
        <v>0</v>
      </c>
      <c r="G34">
        <v>63</v>
      </c>
      <c r="H34">
        <f t="shared" si="0"/>
        <v>40111</v>
      </c>
    </row>
    <row r="35" spans="1:8" x14ac:dyDescent="0.25">
      <c r="A35" t="s">
        <v>190</v>
      </c>
      <c r="B35">
        <v>33</v>
      </c>
      <c r="C35" t="s">
        <v>340</v>
      </c>
      <c r="D35" t="s">
        <v>2</v>
      </c>
      <c r="E35" t="s">
        <v>468</v>
      </c>
      <c r="F35">
        <v>0</v>
      </c>
      <c r="G35">
        <v>63</v>
      </c>
      <c r="H35">
        <f t="shared" si="0"/>
        <v>40112</v>
      </c>
    </row>
    <row r="36" spans="1:8" x14ac:dyDescent="0.25">
      <c r="A36" t="s">
        <v>191</v>
      </c>
      <c r="B36">
        <v>34</v>
      </c>
      <c r="C36" t="s">
        <v>341</v>
      </c>
      <c r="D36" t="s">
        <v>2</v>
      </c>
      <c r="E36" t="s">
        <v>468</v>
      </c>
      <c r="F36">
        <v>0</v>
      </c>
      <c r="G36">
        <v>31</v>
      </c>
      <c r="H36">
        <f t="shared" si="0"/>
        <v>40113</v>
      </c>
    </row>
    <row r="37" spans="1:8" x14ac:dyDescent="0.25">
      <c r="A37" t="s">
        <v>192</v>
      </c>
      <c r="B37">
        <v>35</v>
      </c>
      <c r="C37" t="s">
        <v>342</v>
      </c>
      <c r="D37" t="s">
        <v>2</v>
      </c>
      <c r="E37" t="s">
        <v>468</v>
      </c>
      <c r="F37">
        <v>0</v>
      </c>
      <c r="G37">
        <v>63</v>
      </c>
      <c r="H37">
        <f t="shared" si="0"/>
        <v>40114</v>
      </c>
    </row>
    <row r="38" spans="1:8" x14ac:dyDescent="0.25">
      <c r="A38" t="s">
        <v>193</v>
      </c>
      <c r="B38">
        <v>36</v>
      </c>
      <c r="C38" t="s">
        <v>343</v>
      </c>
      <c r="D38" t="s">
        <v>2</v>
      </c>
      <c r="E38" t="s">
        <v>468</v>
      </c>
      <c r="F38">
        <v>0</v>
      </c>
      <c r="G38">
        <v>63</v>
      </c>
      <c r="H38">
        <f t="shared" si="0"/>
        <v>40115</v>
      </c>
    </row>
    <row r="39" spans="1:8" x14ac:dyDescent="0.25">
      <c r="A39" t="s">
        <v>194</v>
      </c>
      <c r="B39">
        <v>37</v>
      </c>
      <c r="C39" t="s">
        <v>344</v>
      </c>
      <c r="D39" t="s">
        <v>2</v>
      </c>
      <c r="E39" t="s">
        <v>468</v>
      </c>
      <c r="F39">
        <v>0</v>
      </c>
      <c r="G39">
        <v>31</v>
      </c>
      <c r="H39">
        <f t="shared" si="0"/>
        <v>40116</v>
      </c>
    </row>
    <row r="40" spans="1:8" x14ac:dyDescent="0.25">
      <c r="A40" t="s">
        <v>195</v>
      </c>
      <c r="B40">
        <v>38</v>
      </c>
      <c r="C40" t="s">
        <v>345</v>
      </c>
      <c r="D40" t="s">
        <v>2</v>
      </c>
      <c r="E40" t="s">
        <v>468</v>
      </c>
      <c r="F40">
        <v>-500</v>
      </c>
      <c r="G40">
        <v>500</v>
      </c>
      <c r="H40">
        <f t="shared" si="0"/>
        <v>40120</v>
      </c>
    </row>
    <row r="41" spans="1:8" x14ac:dyDescent="0.25">
      <c r="A41" t="s">
        <v>196</v>
      </c>
      <c r="B41">
        <v>39</v>
      </c>
      <c r="C41" t="s">
        <v>346</v>
      </c>
      <c r="D41" t="s">
        <v>2</v>
      </c>
      <c r="E41" t="s">
        <v>468</v>
      </c>
      <c r="F41">
        <v>-500</v>
      </c>
      <c r="G41">
        <v>500</v>
      </c>
      <c r="H41">
        <f t="shared" si="0"/>
        <v>40121</v>
      </c>
    </row>
    <row r="42" spans="1:8" x14ac:dyDescent="0.25">
      <c r="A42" t="s">
        <v>197</v>
      </c>
      <c r="B42">
        <v>40</v>
      </c>
      <c r="C42" t="s">
        <v>347</v>
      </c>
      <c r="D42" t="s">
        <v>2</v>
      </c>
      <c r="E42" t="s">
        <v>468</v>
      </c>
      <c r="F42">
        <v>1</v>
      </c>
      <c r="G42">
        <v>16</v>
      </c>
      <c r="H42">
        <f t="shared" si="0"/>
        <v>40125</v>
      </c>
    </row>
    <row r="43" spans="1:8" x14ac:dyDescent="0.25">
      <c r="A43" t="s">
        <v>198</v>
      </c>
      <c r="B43">
        <v>41</v>
      </c>
      <c r="C43" t="s">
        <v>348</v>
      </c>
      <c r="D43" t="s">
        <v>2</v>
      </c>
      <c r="E43" t="s">
        <v>468</v>
      </c>
      <c r="F43">
        <v>0</v>
      </c>
      <c r="G43">
        <v>8</v>
      </c>
      <c r="H43">
        <f t="shared" si="0"/>
        <v>40130</v>
      </c>
    </row>
    <row r="44" spans="1:8" x14ac:dyDescent="0.25">
      <c r="A44" t="s">
        <v>199</v>
      </c>
      <c r="B44">
        <v>42</v>
      </c>
      <c r="C44" t="s">
        <v>349</v>
      </c>
      <c r="D44" t="s">
        <v>2</v>
      </c>
      <c r="E44" t="s">
        <v>468</v>
      </c>
      <c r="F44">
        <v>0</v>
      </c>
      <c r="G44">
        <v>63</v>
      </c>
      <c r="H44">
        <f t="shared" si="0"/>
        <v>40131</v>
      </c>
    </row>
    <row r="45" spans="1:8" x14ac:dyDescent="0.25">
      <c r="A45" t="s">
        <v>200</v>
      </c>
      <c r="B45">
        <v>43</v>
      </c>
      <c r="C45" t="s">
        <v>350</v>
      </c>
      <c r="D45" t="s">
        <v>2</v>
      </c>
      <c r="E45" t="s">
        <v>468</v>
      </c>
      <c r="F45">
        <v>0</v>
      </c>
      <c r="G45">
        <v>63</v>
      </c>
      <c r="H45">
        <f t="shared" si="0"/>
        <v>40132</v>
      </c>
    </row>
    <row r="46" spans="1:8" x14ac:dyDescent="0.25">
      <c r="A46" t="s">
        <v>201</v>
      </c>
      <c r="B46">
        <v>44</v>
      </c>
      <c r="C46" t="s">
        <v>351</v>
      </c>
      <c r="D46" t="s">
        <v>2</v>
      </c>
      <c r="E46" t="s">
        <v>468</v>
      </c>
      <c r="F46">
        <v>0</v>
      </c>
      <c r="G46">
        <v>31</v>
      </c>
      <c r="H46">
        <f t="shared" si="0"/>
        <v>40133</v>
      </c>
    </row>
    <row r="47" spans="1:8" x14ac:dyDescent="0.25">
      <c r="A47" t="s">
        <v>202</v>
      </c>
      <c r="B47">
        <v>45</v>
      </c>
      <c r="C47" t="s">
        <v>352</v>
      </c>
      <c r="D47" t="s">
        <v>2</v>
      </c>
      <c r="E47" t="s">
        <v>468</v>
      </c>
      <c r="F47">
        <v>0</v>
      </c>
      <c r="G47">
        <v>63</v>
      </c>
      <c r="H47">
        <f t="shared" si="0"/>
        <v>40134</v>
      </c>
    </row>
    <row r="48" spans="1:8" x14ac:dyDescent="0.25">
      <c r="A48" t="s">
        <v>203</v>
      </c>
      <c r="B48">
        <v>46</v>
      </c>
      <c r="C48" t="s">
        <v>353</v>
      </c>
      <c r="D48" t="s">
        <v>2</v>
      </c>
      <c r="E48" t="s">
        <v>468</v>
      </c>
      <c r="F48">
        <v>0</v>
      </c>
      <c r="G48">
        <v>63</v>
      </c>
      <c r="H48">
        <f t="shared" si="0"/>
        <v>40135</v>
      </c>
    </row>
    <row r="49" spans="1:8" x14ac:dyDescent="0.25">
      <c r="A49" t="s">
        <v>204</v>
      </c>
      <c r="B49">
        <v>47</v>
      </c>
      <c r="C49" t="s">
        <v>354</v>
      </c>
      <c r="D49" t="s">
        <v>2</v>
      </c>
      <c r="E49" t="s">
        <v>468</v>
      </c>
      <c r="F49">
        <v>0</v>
      </c>
      <c r="G49">
        <v>31</v>
      </c>
      <c r="H49">
        <f t="shared" si="0"/>
        <v>40136</v>
      </c>
    </row>
    <row r="50" spans="1:8" x14ac:dyDescent="0.25">
      <c r="A50" t="s">
        <v>205</v>
      </c>
      <c r="B50">
        <v>48</v>
      </c>
      <c r="C50" t="s">
        <v>355</v>
      </c>
      <c r="D50" t="s">
        <v>2</v>
      </c>
      <c r="E50" t="s">
        <v>468</v>
      </c>
      <c r="F50">
        <v>-500</v>
      </c>
      <c r="G50">
        <v>500</v>
      </c>
      <c r="H50">
        <f t="shared" si="0"/>
        <v>40140</v>
      </c>
    </row>
    <row r="51" spans="1:8" x14ac:dyDescent="0.25">
      <c r="A51" t="s">
        <v>206</v>
      </c>
      <c r="B51">
        <v>49</v>
      </c>
      <c r="C51" t="s">
        <v>356</v>
      </c>
      <c r="D51" t="s">
        <v>2</v>
      </c>
      <c r="E51" t="s">
        <v>468</v>
      </c>
      <c r="F51">
        <v>-500</v>
      </c>
      <c r="G51">
        <v>500</v>
      </c>
      <c r="H51">
        <f t="shared" si="0"/>
        <v>40141</v>
      </c>
    </row>
    <row r="52" spans="1:8" x14ac:dyDescent="0.25">
      <c r="A52" t="s">
        <v>207</v>
      </c>
      <c r="B52">
        <v>50</v>
      </c>
      <c r="C52" t="s">
        <v>357</v>
      </c>
      <c r="D52" t="s">
        <v>2</v>
      </c>
      <c r="E52" t="s">
        <v>468</v>
      </c>
      <c r="F52">
        <v>1</v>
      </c>
      <c r="G52">
        <v>16</v>
      </c>
      <c r="H52">
        <f t="shared" si="0"/>
        <v>40145</v>
      </c>
    </row>
    <row r="53" spans="1:8" x14ac:dyDescent="0.25">
      <c r="A53" t="s">
        <v>208</v>
      </c>
      <c r="B53">
        <v>51</v>
      </c>
      <c r="C53" t="s">
        <v>358</v>
      </c>
      <c r="D53" t="s">
        <v>2</v>
      </c>
      <c r="E53" t="s">
        <v>468</v>
      </c>
      <c r="F53">
        <v>0</v>
      </c>
      <c r="G53">
        <v>8</v>
      </c>
      <c r="H53">
        <f t="shared" si="0"/>
        <v>40150</v>
      </c>
    </row>
    <row r="54" spans="1:8" x14ac:dyDescent="0.25">
      <c r="A54" t="s">
        <v>209</v>
      </c>
      <c r="B54">
        <v>52</v>
      </c>
      <c r="C54" t="s">
        <v>359</v>
      </c>
      <c r="D54" t="s">
        <v>2</v>
      </c>
      <c r="E54" t="s">
        <v>468</v>
      </c>
      <c r="F54">
        <v>0</v>
      </c>
      <c r="G54">
        <v>63</v>
      </c>
      <c r="H54">
        <f t="shared" si="0"/>
        <v>40151</v>
      </c>
    </row>
    <row r="55" spans="1:8" x14ac:dyDescent="0.25">
      <c r="A55" t="s">
        <v>210</v>
      </c>
      <c r="B55">
        <v>53</v>
      </c>
      <c r="C55" t="s">
        <v>360</v>
      </c>
      <c r="D55" t="s">
        <v>2</v>
      </c>
      <c r="E55" t="s">
        <v>468</v>
      </c>
      <c r="F55">
        <v>0</v>
      </c>
      <c r="G55">
        <v>63</v>
      </c>
      <c r="H55">
        <f t="shared" si="0"/>
        <v>40152</v>
      </c>
    </row>
    <row r="56" spans="1:8" x14ac:dyDescent="0.25">
      <c r="A56" t="s">
        <v>211</v>
      </c>
      <c r="B56">
        <v>54</v>
      </c>
      <c r="C56" t="s">
        <v>361</v>
      </c>
      <c r="D56" t="s">
        <v>2</v>
      </c>
      <c r="E56" t="s">
        <v>468</v>
      </c>
      <c r="F56">
        <v>0</v>
      </c>
      <c r="G56">
        <v>31</v>
      </c>
      <c r="H56">
        <f t="shared" si="0"/>
        <v>40153</v>
      </c>
    </row>
    <row r="57" spans="1:8" x14ac:dyDescent="0.25">
      <c r="A57" t="s">
        <v>212</v>
      </c>
      <c r="B57">
        <v>55</v>
      </c>
      <c r="C57" t="s">
        <v>362</v>
      </c>
      <c r="D57" t="s">
        <v>2</v>
      </c>
      <c r="E57" t="s">
        <v>468</v>
      </c>
      <c r="F57">
        <v>0</v>
      </c>
      <c r="G57">
        <v>63</v>
      </c>
      <c r="H57">
        <f t="shared" si="0"/>
        <v>40154</v>
      </c>
    </row>
    <row r="58" spans="1:8" x14ac:dyDescent="0.25">
      <c r="A58" t="s">
        <v>213</v>
      </c>
      <c r="B58">
        <v>56</v>
      </c>
      <c r="C58" t="s">
        <v>363</v>
      </c>
      <c r="D58" t="s">
        <v>2</v>
      </c>
      <c r="E58" t="s">
        <v>468</v>
      </c>
      <c r="F58">
        <v>0</v>
      </c>
      <c r="G58">
        <v>63</v>
      </c>
      <c r="H58">
        <f t="shared" si="0"/>
        <v>40155</v>
      </c>
    </row>
    <row r="59" spans="1:8" x14ac:dyDescent="0.25">
      <c r="A59" t="s">
        <v>214</v>
      </c>
      <c r="B59">
        <v>57</v>
      </c>
      <c r="C59" t="s">
        <v>364</v>
      </c>
      <c r="D59" t="s">
        <v>2</v>
      </c>
      <c r="E59" t="s">
        <v>468</v>
      </c>
      <c r="F59">
        <v>0</v>
      </c>
      <c r="G59">
        <v>31</v>
      </c>
      <c r="H59">
        <f t="shared" si="0"/>
        <v>40156</v>
      </c>
    </row>
    <row r="60" spans="1:8" x14ac:dyDescent="0.25">
      <c r="A60" t="s">
        <v>215</v>
      </c>
      <c r="B60">
        <v>58</v>
      </c>
      <c r="C60" t="s">
        <v>365</v>
      </c>
      <c r="D60" t="s">
        <v>2</v>
      </c>
      <c r="E60" t="s">
        <v>468</v>
      </c>
      <c r="F60">
        <v>-500</v>
      </c>
      <c r="G60">
        <v>500</v>
      </c>
      <c r="H60">
        <f t="shared" si="0"/>
        <v>40160</v>
      </c>
    </row>
    <row r="61" spans="1:8" x14ac:dyDescent="0.25">
      <c r="A61" t="s">
        <v>216</v>
      </c>
      <c r="B61">
        <v>59</v>
      </c>
      <c r="C61" t="s">
        <v>366</v>
      </c>
      <c r="D61" t="s">
        <v>2</v>
      </c>
      <c r="E61" t="s">
        <v>468</v>
      </c>
      <c r="F61">
        <v>-500</v>
      </c>
      <c r="G61">
        <v>500</v>
      </c>
      <c r="H61">
        <f t="shared" si="0"/>
        <v>40161</v>
      </c>
    </row>
    <row r="62" spans="1:8" x14ac:dyDescent="0.25">
      <c r="A62" t="s">
        <v>217</v>
      </c>
      <c r="B62">
        <v>60</v>
      </c>
      <c r="C62" t="s">
        <v>367</v>
      </c>
      <c r="D62" t="s">
        <v>2</v>
      </c>
      <c r="E62" t="s">
        <v>468</v>
      </c>
      <c r="F62">
        <v>1</v>
      </c>
      <c r="G62">
        <v>16</v>
      </c>
      <c r="H62">
        <f t="shared" si="0"/>
        <v>40165</v>
      </c>
    </row>
    <row r="63" spans="1:8" x14ac:dyDescent="0.25">
      <c r="A63" t="s">
        <v>218</v>
      </c>
      <c r="B63">
        <v>61</v>
      </c>
      <c r="C63" t="s">
        <v>368</v>
      </c>
      <c r="D63" t="s">
        <v>2</v>
      </c>
      <c r="E63" t="s">
        <v>468</v>
      </c>
      <c r="F63">
        <v>0</v>
      </c>
      <c r="G63">
        <v>8</v>
      </c>
      <c r="H63">
        <f t="shared" si="0"/>
        <v>40170</v>
      </c>
    </row>
    <row r="64" spans="1:8" x14ac:dyDescent="0.25">
      <c r="A64" t="s">
        <v>219</v>
      </c>
      <c r="B64">
        <v>62</v>
      </c>
      <c r="C64" t="s">
        <v>369</v>
      </c>
      <c r="D64" t="s">
        <v>2</v>
      </c>
      <c r="E64" t="s">
        <v>468</v>
      </c>
      <c r="F64">
        <v>0</v>
      </c>
      <c r="G64">
        <v>63</v>
      </c>
      <c r="H64">
        <f t="shared" si="0"/>
        <v>40171</v>
      </c>
    </row>
    <row r="65" spans="1:8" x14ac:dyDescent="0.25">
      <c r="A65" t="s">
        <v>220</v>
      </c>
      <c r="B65">
        <v>63</v>
      </c>
      <c r="C65" t="s">
        <v>370</v>
      </c>
      <c r="D65" t="s">
        <v>2</v>
      </c>
      <c r="E65" t="s">
        <v>468</v>
      </c>
      <c r="F65">
        <v>0</v>
      </c>
      <c r="G65">
        <v>63</v>
      </c>
      <c r="H65">
        <f t="shared" si="0"/>
        <v>40172</v>
      </c>
    </row>
    <row r="66" spans="1:8" x14ac:dyDescent="0.25">
      <c r="A66" t="s">
        <v>221</v>
      </c>
      <c r="B66">
        <v>64</v>
      </c>
      <c r="C66" t="s">
        <v>371</v>
      </c>
      <c r="D66" t="s">
        <v>2</v>
      </c>
      <c r="E66" t="s">
        <v>468</v>
      </c>
      <c r="F66">
        <v>0</v>
      </c>
      <c r="G66">
        <v>31</v>
      </c>
      <c r="H66">
        <f t="shared" si="0"/>
        <v>40173</v>
      </c>
    </row>
    <row r="67" spans="1:8" x14ac:dyDescent="0.25">
      <c r="A67" t="s">
        <v>222</v>
      </c>
      <c r="B67">
        <v>65</v>
      </c>
      <c r="C67" t="s">
        <v>372</v>
      </c>
      <c r="D67" t="s">
        <v>2</v>
      </c>
      <c r="E67" t="s">
        <v>468</v>
      </c>
      <c r="F67">
        <v>0</v>
      </c>
      <c r="G67">
        <v>63</v>
      </c>
      <c r="H67">
        <f t="shared" si="0"/>
        <v>40174</v>
      </c>
    </row>
    <row r="68" spans="1:8" x14ac:dyDescent="0.25">
      <c r="A68" t="s">
        <v>223</v>
      </c>
      <c r="B68">
        <v>66</v>
      </c>
      <c r="C68" t="s">
        <v>373</v>
      </c>
      <c r="D68" t="s">
        <v>2</v>
      </c>
      <c r="E68" t="s">
        <v>468</v>
      </c>
      <c r="F68">
        <v>0</v>
      </c>
      <c r="G68">
        <v>63</v>
      </c>
      <c r="H68">
        <f t="shared" si="0"/>
        <v>40175</v>
      </c>
    </row>
    <row r="69" spans="1:8" x14ac:dyDescent="0.25">
      <c r="A69" t="s">
        <v>224</v>
      </c>
      <c r="B69">
        <v>67</v>
      </c>
      <c r="C69" t="s">
        <v>374</v>
      </c>
      <c r="D69" t="s">
        <v>2</v>
      </c>
      <c r="E69" t="s">
        <v>468</v>
      </c>
      <c r="F69">
        <v>0</v>
      </c>
      <c r="G69">
        <v>31</v>
      </c>
      <c r="H69">
        <f t="shared" si="0"/>
        <v>40176</v>
      </c>
    </row>
    <row r="70" spans="1:8" x14ac:dyDescent="0.25">
      <c r="A70" t="s">
        <v>225</v>
      </c>
      <c r="B70">
        <v>68</v>
      </c>
      <c r="C70" t="s">
        <v>375</v>
      </c>
      <c r="D70" t="s">
        <v>2</v>
      </c>
      <c r="E70" t="s">
        <v>468</v>
      </c>
      <c r="F70">
        <v>-500</v>
      </c>
      <c r="G70">
        <v>500</v>
      </c>
      <c r="H70">
        <f t="shared" si="0"/>
        <v>40180</v>
      </c>
    </row>
    <row r="71" spans="1:8" x14ac:dyDescent="0.25">
      <c r="A71" t="s">
        <v>226</v>
      </c>
      <c r="B71">
        <v>69</v>
      </c>
      <c r="C71" t="s">
        <v>376</v>
      </c>
      <c r="D71" t="s">
        <v>2</v>
      </c>
      <c r="E71" t="s">
        <v>468</v>
      </c>
      <c r="F71">
        <v>-500</v>
      </c>
      <c r="G71">
        <v>500</v>
      </c>
      <c r="H71">
        <f t="shared" si="0"/>
        <v>40181</v>
      </c>
    </row>
    <row r="72" spans="1:8" x14ac:dyDescent="0.25">
      <c r="A72" t="s">
        <v>227</v>
      </c>
      <c r="B72">
        <v>70</v>
      </c>
      <c r="C72" t="s">
        <v>377</v>
      </c>
      <c r="D72" t="s">
        <v>2</v>
      </c>
      <c r="E72" t="s">
        <v>468</v>
      </c>
      <c r="F72">
        <v>1</v>
      </c>
      <c r="G72">
        <v>16</v>
      </c>
      <c r="H72">
        <f t="shared" si="0"/>
        <v>40185</v>
      </c>
    </row>
    <row r="73" spans="1:8" x14ac:dyDescent="0.25">
      <c r="A73" t="s">
        <v>228</v>
      </c>
      <c r="B73">
        <v>71</v>
      </c>
      <c r="C73" t="s">
        <v>378</v>
      </c>
      <c r="D73" t="s">
        <v>2</v>
      </c>
      <c r="E73" t="s">
        <v>468</v>
      </c>
      <c r="F73">
        <v>0</v>
      </c>
      <c r="G73">
        <v>8</v>
      </c>
      <c r="H73">
        <f t="shared" si="0"/>
        <v>40190</v>
      </c>
    </row>
    <row r="74" spans="1:8" x14ac:dyDescent="0.25">
      <c r="A74" t="s">
        <v>229</v>
      </c>
      <c r="B74">
        <v>72</v>
      </c>
      <c r="C74" t="s">
        <v>379</v>
      </c>
      <c r="D74" t="s">
        <v>2</v>
      </c>
      <c r="E74" t="s">
        <v>468</v>
      </c>
      <c r="F74">
        <v>0</v>
      </c>
      <c r="G74">
        <v>63</v>
      </c>
      <c r="H74">
        <f t="shared" si="0"/>
        <v>40191</v>
      </c>
    </row>
    <row r="75" spans="1:8" x14ac:dyDescent="0.25">
      <c r="A75" t="s">
        <v>230</v>
      </c>
      <c r="B75">
        <v>73</v>
      </c>
      <c r="C75" t="s">
        <v>380</v>
      </c>
      <c r="D75" t="s">
        <v>2</v>
      </c>
      <c r="E75" t="s">
        <v>468</v>
      </c>
      <c r="F75">
        <v>0</v>
      </c>
      <c r="G75">
        <v>63</v>
      </c>
      <c r="H75">
        <f t="shared" si="0"/>
        <v>40192</v>
      </c>
    </row>
    <row r="76" spans="1:8" x14ac:dyDescent="0.25">
      <c r="A76" t="s">
        <v>231</v>
      </c>
      <c r="B76">
        <v>74</v>
      </c>
      <c r="C76" t="s">
        <v>381</v>
      </c>
      <c r="D76" t="s">
        <v>2</v>
      </c>
      <c r="E76" t="s">
        <v>468</v>
      </c>
      <c r="F76">
        <v>0</v>
      </c>
      <c r="G76">
        <v>31</v>
      </c>
      <c r="H76">
        <f t="shared" si="0"/>
        <v>40193</v>
      </c>
    </row>
    <row r="77" spans="1:8" x14ac:dyDescent="0.25">
      <c r="A77" t="s">
        <v>232</v>
      </c>
      <c r="B77">
        <v>75</v>
      </c>
      <c r="C77" t="s">
        <v>382</v>
      </c>
      <c r="D77" t="s">
        <v>2</v>
      </c>
      <c r="E77" t="s">
        <v>468</v>
      </c>
      <c r="F77">
        <v>0</v>
      </c>
      <c r="G77">
        <v>63</v>
      </c>
      <c r="H77">
        <f t="shared" si="0"/>
        <v>40194</v>
      </c>
    </row>
    <row r="78" spans="1:8" x14ac:dyDescent="0.25">
      <c r="A78" t="s">
        <v>233</v>
      </c>
      <c r="B78">
        <v>76</v>
      </c>
      <c r="C78" t="s">
        <v>383</v>
      </c>
      <c r="D78" t="s">
        <v>2</v>
      </c>
      <c r="E78" t="s">
        <v>468</v>
      </c>
      <c r="F78">
        <v>0</v>
      </c>
      <c r="G78">
        <v>63</v>
      </c>
      <c r="H78">
        <f t="shared" ref="H78:H141" si="1">H68+20</f>
        <v>40195</v>
      </c>
    </row>
    <row r="79" spans="1:8" x14ac:dyDescent="0.25">
      <c r="A79" t="s">
        <v>234</v>
      </c>
      <c r="B79">
        <v>77</v>
      </c>
      <c r="C79" t="s">
        <v>384</v>
      </c>
      <c r="D79" t="s">
        <v>2</v>
      </c>
      <c r="E79" t="s">
        <v>468</v>
      </c>
      <c r="F79">
        <v>0</v>
      </c>
      <c r="G79">
        <v>31</v>
      </c>
      <c r="H79">
        <f t="shared" si="1"/>
        <v>40196</v>
      </c>
    </row>
    <row r="80" spans="1:8" x14ac:dyDescent="0.25">
      <c r="A80" t="s">
        <v>235</v>
      </c>
      <c r="B80">
        <v>78</v>
      </c>
      <c r="C80" t="s">
        <v>385</v>
      </c>
      <c r="D80" t="s">
        <v>2</v>
      </c>
      <c r="E80" t="s">
        <v>468</v>
      </c>
      <c r="F80">
        <v>-500</v>
      </c>
      <c r="G80">
        <v>500</v>
      </c>
      <c r="H80">
        <f t="shared" si="1"/>
        <v>40200</v>
      </c>
    </row>
    <row r="81" spans="1:8" x14ac:dyDescent="0.25">
      <c r="A81" t="s">
        <v>236</v>
      </c>
      <c r="B81">
        <v>79</v>
      </c>
      <c r="C81" t="s">
        <v>386</v>
      </c>
      <c r="D81" t="s">
        <v>2</v>
      </c>
      <c r="E81" t="s">
        <v>468</v>
      </c>
      <c r="F81">
        <v>-500</v>
      </c>
      <c r="G81">
        <v>500</v>
      </c>
      <c r="H81">
        <f t="shared" si="1"/>
        <v>40201</v>
      </c>
    </row>
    <row r="82" spans="1:8" x14ac:dyDescent="0.25">
      <c r="A82" t="s">
        <v>237</v>
      </c>
      <c r="B82">
        <v>80</v>
      </c>
      <c r="C82" t="s">
        <v>387</v>
      </c>
      <c r="D82" t="s">
        <v>2</v>
      </c>
      <c r="E82" t="s">
        <v>468</v>
      </c>
      <c r="F82">
        <v>1</v>
      </c>
      <c r="G82">
        <v>16</v>
      </c>
      <c r="H82">
        <f t="shared" si="1"/>
        <v>40205</v>
      </c>
    </row>
    <row r="83" spans="1:8" x14ac:dyDescent="0.25">
      <c r="A83" t="s">
        <v>238</v>
      </c>
      <c r="B83">
        <v>81</v>
      </c>
      <c r="C83" t="s">
        <v>388</v>
      </c>
      <c r="D83" t="s">
        <v>2</v>
      </c>
      <c r="E83" t="s">
        <v>468</v>
      </c>
      <c r="F83">
        <v>0</v>
      </c>
      <c r="G83">
        <v>8</v>
      </c>
      <c r="H83">
        <f t="shared" si="1"/>
        <v>40210</v>
      </c>
    </row>
    <row r="84" spans="1:8" x14ac:dyDescent="0.25">
      <c r="A84" t="s">
        <v>239</v>
      </c>
      <c r="B84">
        <v>82</v>
      </c>
      <c r="C84" t="s">
        <v>389</v>
      </c>
      <c r="D84" t="s">
        <v>2</v>
      </c>
      <c r="E84" t="s">
        <v>468</v>
      </c>
      <c r="F84">
        <v>0</v>
      </c>
      <c r="G84">
        <v>63</v>
      </c>
      <c r="H84">
        <f t="shared" si="1"/>
        <v>40211</v>
      </c>
    </row>
    <row r="85" spans="1:8" x14ac:dyDescent="0.25">
      <c r="A85" t="s">
        <v>240</v>
      </c>
      <c r="B85">
        <v>83</v>
      </c>
      <c r="C85" t="s">
        <v>390</v>
      </c>
      <c r="D85" t="s">
        <v>2</v>
      </c>
      <c r="E85" t="s">
        <v>468</v>
      </c>
      <c r="F85">
        <v>0</v>
      </c>
      <c r="G85">
        <v>63</v>
      </c>
      <c r="H85">
        <f t="shared" si="1"/>
        <v>40212</v>
      </c>
    </row>
    <row r="86" spans="1:8" x14ac:dyDescent="0.25">
      <c r="A86" t="s">
        <v>241</v>
      </c>
      <c r="B86">
        <v>84</v>
      </c>
      <c r="C86" t="s">
        <v>391</v>
      </c>
      <c r="D86" t="s">
        <v>2</v>
      </c>
      <c r="E86" t="s">
        <v>468</v>
      </c>
      <c r="F86">
        <v>0</v>
      </c>
      <c r="G86">
        <v>31</v>
      </c>
      <c r="H86">
        <f t="shared" si="1"/>
        <v>40213</v>
      </c>
    </row>
    <row r="87" spans="1:8" x14ac:dyDescent="0.25">
      <c r="A87" t="s">
        <v>242</v>
      </c>
      <c r="B87">
        <v>85</v>
      </c>
      <c r="C87" t="s">
        <v>392</v>
      </c>
      <c r="D87" t="s">
        <v>2</v>
      </c>
      <c r="E87" t="s">
        <v>468</v>
      </c>
      <c r="F87">
        <v>0</v>
      </c>
      <c r="G87">
        <v>63</v>
      </c>
      <c r="H87">
        <f t="shared" si="1"/>
        <v>40214</v>
      </c>
    </row>
    <row r="88" spans="1:8" x14ac:dyDescent="0.25">
      <c r="A88" t="s">
        <v>243</v>
      </c>
      <c r="B88">
        <v>86</v>
      </c>
      <c r="C88" t="s">
        <v>393</v>
      </c>
      <c r="D88" t="s">
        <v>2</v>
      </c>
      <c r="E88" t="s">
        <v>468</v>
      </c>
      <c r="F88">
        <v>0</v>
      </c>
      <c r="G88">
        <v>63</v>
      </c>
      <c r="H88">
        <f t="shared" si="1"/>
        <v>40215</v>
      </c>
    </row>
    <row r="89" spans="1:8" x14ac:dyDescent="0.25">
      <c r="A89" t="s">
        <v>244</v>
      </c>
      <c r="B89">
        <v>87</v>
      </c>
      <c r="C89" t="s">
        <v>394</v>
      </c>
      <c r="D89" t="s">
        <v>2</v>
      </c>
      <c r="E89" t="s">
        <v>468</v>
      </c>
      <c r="F89">
        <v>0</v>
      </c>
      <c r="G89">
        <v>31</v>
      </c>
      <c r="H89">
        <f t="shared" si="1"/>
        <v>40216</v>
      </c>
    </row>
    <row r="90" spans="1:8" x14ac:dyDescent="0.25">
      <c r="A90" t="s">
        <v>245</v>
      </c>
      <c r="B90">
        <v>88</v>
      </c>
      <c r="C90" t="s">
        <v>395</v>
      </c>
      <c r="D90" t="s">
        <v>2</v>
      </c>
      <c r="E90" t="s">
        <v>468</v>
      </c>
      <c r="F90">
        <v>-500</v>
      </c>
      <c r="G90">
        <v>500</v>
      </c>
      <c r="H90">
        <f t="shared" si="1"/>
        <v>40220</v>
      </c>
    </row>
    <row r="91" spans="1:8" x14ac:dyDescent="0.25">
      <c r="A91" t="s">
        <v>246</v>
      </c>
      <c r="B91">
        <v>89</v>
      </c>
      <c r="C91" t="s">
        <v>396</v>
      </c>
      <c r="D91" t="s">
        <v>2</v>
      </c>
      <c r="E91" t="s">
        <v>468</v>
      </c>
      <c r="F91">
        <v>-500</v>
      </c>
      <c r="G91">
        <v>500</v>
      </c>
      <c r="H91">
        <f t="shared" si="1"/>
        <v>40221</v>
      </c>
    </row>
    <row r="92" spans="1:8" x14ac:dyDescent="0.25">
      <c r="A92" t="s">
        <v>247</v>
      </c>
      <c r="B92">
        <v>90</v>
      </c>
      <c r="C92" t="s">
        <v>397</v>
      </c>
      <c r="D92" t="s">
        <v>2</v>
      </c>
      <c r="E92" t="s">
        <v>468</v>
      </c>
      <c r="F92">
        <v>1</v>
      </c>
      <c r="G92">
        <v>16</v>
      </c>
      <c r="H92">
        <f t="shared" si="1"/>
        <v>40225</v>
      </c>
    </row>
    <row r="93" spans="1:8" x14ac:dyDescent="0.25">
      <c r="A93" t="s">
        <v>248</v>
      </c>
      <c r="B93">
        <v>91</v>
      </c>
      <c r="C93" t="s">
        <v>398</v>
      </c>
      <c r="D93" t="s">
        <v>2</v>
      </c>
      <c r="E93" t="s">
        <v>468</v>
      </c>
      <c r="F93">
        <v>0</v>
      </c>
      <c r="G93">
        <v>8</v>
      </c>
      <c r="H93">
        <f t="shared" si="1"/>
        <v>40230</v>
      </c>
    </row>
    <row r="94" spans="1:8" x14ac:dyDescent="0.25">
      <c r="A94" t="s">
        <v>249</v>
      </c>
      <c r="B94">
        <v>92</v>
      </c>
      <c r="C94" t="s">
        <v>399</v>
      </c>
      <c r="D94" t="s">
        <v>2</v>
      </c>
      <c r="E94" t="s">
        <v>468</v>
      </c>
      <c r="F94">
        <v>0</v>
      </c>
      <c r="G94">
        <v>63</v>
      </c>
      <c r="H94">
        <f t="shared" si="1"/>
        <v>40231</v>
      </c>
    </row>
    <row r="95" spans="1:8" x14ac:dyDescent="0.25">
      <c r="A95" t="s">
        <v>250</v>
      </c>
      <c r="B95">
        <v>93</v>
      </c>
      <c r="C95" t="s">
        <v>400</v>
      </c>
      <c r="D95" t="s">
        <v>2</v>
      </c>
      <c r="E95" t="s">
        <v>468</v>
      </c>
      <c r="F95">
        <v>0</v>
      </c>
      <c r="G95">
        <v>63</v>
      </c>
      <c r="H95">
        <f t="shared" si="1"/>
        <v>40232</v>
      </c>
    </row>
    <row r="96" spans="1:8" x14ac:dyDescent="0.25">
      <c r="A96" t="s">
        <v>251</v>
      </c>
      <c r="B96">
        <v>94</v>
      </c>
      <c r="C96" t="s">
        <v>401</v>
      </c>
      <c r="D96" t="s">
        <v>2</v>
      </c>
      <c r="E96" t="s">
        <v>468</v>
      </c>
      <c r="F96">
        <v>0</v>
      </c>
      <c r="G96">
        <v>31</v>
      </c>
      <c r="H96">
        <f t="shared" si="1"/>
        <v>40233</v>
      </c>
    </row>
    <row r="97" spans="1:8" x14ac:dyDescent="0.25">
      <c r="A97" t="s">
        <v>252</v>
      </c>
      <c r="B97">
        <v>95</v>
      </c>
      <c r="C97" t="s">
        <v>402</v>
      </c>
      <c r="D97" t="s">
        <v>2</v>
      </c>
      <c r="E97" t="s">
        <v>468</v>
      </c>
      <c r="F97">
        <v>0</v>
      </c>
      <c r="G97">
        <v>63</v>
      </c>
      <c r="H97">
        <f t="shared" si="1"/>
        <v>40234</v>
      </c>
    </row>
    <row r="98" spans="1:8" x14ac:dyDescent="0.25">
      <c r="A98" t="s">
        <v>253</v>
      </c>
      <c r="B98">
        <v>96</v>
      </c>
      <c r="C98" t="s">
        <v>403</v>
      </c>
      <c r="D98" t="s">
        <v>2</v>
      </c>
      <c r="E98" t="s">
        <v>468</v>
      </c>
      <c r="F98">
        <v>0</v>
      </c>
      <c r="G98">
        <v>63</v>
      </c>
      <c r="H98">
        <f t="shared" si="1"/>
        <v>40235</v>
      </c>
    </row>
    <row r="99" spans="1:8" x14ac:dyDescent="0.25">
      <c r="A99" t="s">
        <v>254</v>
      </c>
      <c r="B99">
        <v>97</v>
      </c>
      <c r="C99" t="s">
        <v>404</v>
      </c>
      <c r="D99" t="s">
        <v>2</v>
      </c>
      <c r="E99" t="s">
        <v>468</v>
      </c>
      <c r="F99">
        <v>0</v>
      </c>
      <c r="G99">
        <v>31</v>
      </c>
      <c r="H99">
        <f t="shared" si="1"/>
        <v>40236</v>
      </c>
    </row>
    <row r="100" spans="1:8" x14ac:dyDescent="0.25">
      <c r="A100" t="s">
        <v>255</v>
      </c>
      <c r="B100">
        <v>98</v>
      </c>
      <c r="C100" t="s">
        <v>405</v>
      </c>
      <c r="D100" t="s">
        <v>2</v>
      </c>
      <c r="E100" t="s">
        <v>468</v>
      </c>
      <c r="F100">
        <v>-500</v>
      </c>
      <c r="G100">
        <v>500</v>
      </c>
      <c r="H100">
        <f t="shared" si="1"/>
        <v>40240</v>
      </c>
    </row>
    <row r="101" spans="1:8" x14ac:dyDescent="0.25">
      <c r="A101" t="s">
        <v>256</v>
      </c>
      <c r="B101">
        <v>99</v>
      </c>
      <c r="C101" t="s">
        <v>406</v>
      </c>
      <c r="D101" t="s">
        <v>2</v>
      </c>
      <c r="E101" t="s">
        <v>468</v>
      </c>
      <c r="F101">
        <v>-500</v>
      </c>
      <c r="G101">
        <v>500</v>
      </c>
      <c r="H101">
        <f t="shared" si="1"/>
        <v>40241</v>
      </c>
    </row>
    <row r="102" spans="1:8" x14ac:dyDescent="0.25">
      <c r="A102" t="s">
        <v>257</v>
      </c>
      <c r="B102">
        <v>100</v>
      </c>
      <c r="C102" t="s">
        <v>407</v>
      </c>
      <c r="D102" t="s">
        <v>2</v>
      </c>
      <c r="E102" t="s">
        <v>468</v>
      </c>
      <c r="F102">
        <v>1</v>
      </c>
      <c r="G102">
        <v>16</v>
      </c>
      <c r="H102">
        <f t="shared" si="1"/>
        <v>40245</v>
      </c>
    </row>
    <row r="103" spans="1:8" x14ac:dyDescent="0.25">
      <c r="A103" t="s">
        <v>258</v>
      </c>
      <c r="B103">
        <v>101</v>
      </c>
      <c r="C103" t="s">
        <v>408</v>
      </c>
      <c r="D103" t="s">
        <v>2</v>
      </c>
      <c r="E103" t="s">
        <v>468</v>
      </c>
      <c r="F103">
        <v>0</v>
      </c>
      <c r="G103">
        <v>8</v>
      </c>
      <c r="H103">
        <f t="shared" si="1"/>
        <v>40250</v>
      </c>
    </row>
    <row r="104" spans="1:8" x14ac:dyDescent="0.25">
      <c r="A104" t="s">
        <v>259</v>
      </c>
      <c r="B104">
        <v>102</v>
      </c>
      <c r="C104" t="s">
        <v>409</v>
      </c>
      <c r="D104" t="s">
        <v>2</v>
      </c>
      <c r="E104" t="s">
        <v>468</v>
      </c>
      <c r="F104">
        <v>0</v>
      </c>
      <c r="G104">
        <v>63</v>
      </c>
      <c r="H104">
        <f t="shared" si="1"/>
        <v>40251</v>
      </c>
    </row>
    <row r="105" spans="1:8" x14ac:dyDescent="0.25">
      <c r="A105" t="s">
        <v>260</v>
      </c>
      <c r="B105">
        <v>103</v>
      </c>
      <c r="C105" t="s">
        <v>410</v>
      </c>
      <c r="D105" t="s">
        <v>2</v>
      </c>
      <c r="E105" t="s">
        <v>468</v>
      </c>
      <c r="F105">
        <v>0</v>
      </c>
      <c r="G105">
        <v>63</v>
      </c>
      <c r="H105">
        <f t="shared" si="1"/>
        <v>40252</v>
      </c>
    </row>
    <row r="106" spans="1:8" x14ac:dyDescent="0.25">
      <c r="A106" t="s">
        <v>261</v>
      </c>
      <c r="B106">
        <v>104</v>
      </c>
      <c r="C106" t="s">
        <v>411</v>
      </c>
      <c r="D106" t="s">
        <v>2</v>
      </c>
      <c r="E106" t="s">
        <v>468</v>
      </c>
      <c r="F106">
        <v>0</v>
      </c>
      <c r="G106">
        <v>31</v>
      </c>
      <c r="H106">
        <f t="shared" si="1"/>
        <v>40253</v>
      </c>
    </row>
    <row r="107" spans="1:8" x14ac:dyDescent="0.25">
      <c r="A107" t="s">
        <v>262</v>
      </c>
      <c r="B107">
        <v>105</v>
      </c>
      <c r="C107" t="s">
        <v>412</v>
      </c>
      <c r="D107" t="s">
        <v>2</v>
      </c>
      <c r="E107" t="s">
        <v>468</v>
      </c>
      <c r="F107">
        <v>0</v>
      </c>
      <c r="G107">
        <v>63</v>
      </c>
      <c r="H107">
        <f t="shared" si="1"/>
        <v>40254</v>
      </c>
    </row>
    <row r="108" spans="1:8" x14ac:dyDescent="0.25">
      <c r="A108" t="s">
        <v>263</v>
      </c>
      <c r="B108">
        <v>106</v>
      </c>
      <c r="C108" t="s">
        <v>413</v>
      </c>
      <c r="D108" t="s">
        <v>2</v>
      </c>
      <c r="E108" t="s">
        <v>468</v>
      </c>
      <c r="F108">
        <v>0</v>
      </c>
      <c r="G108">
        <v>63</v>
      </c>
      <c r="H108">
        <f t="shared" si="1"/>
        <v>40255</v>
      </c>
    </row>
    <row r="109" spans="1:8" x14ac:dyDescent="0.25">
      <c r="A109" t="s">
        <v>264</v>
      </c>
      <c r="B109">
        <v>107</v>
      </c>
      <c r="C109" t="s">
        <v>414</v>
      </c>
      <c r="D109" t="s">
        <v>2</v>
      </c>
      <c r="E109" t="s">
        <v>468</v>
      </c>
      <c r="F109">
        <v>0</v>
      </c>
      <c r="G109">
        <v>31</v>
      </c>
      <c r="H109">
        <f t="shared" si="1"/>
        <v>40256</v>
      </c>
    </row>
    <row r="110" spans="1:8" x14ac:dyDescent="0.25">
      <c r="A110" t="s">
        <v>265</v>
      </c>
      <c r="B110">
        <v>108</v>
      </c>
      <c r="C110" t="s">
        <v>415</v>
      </c>
      <c r="D110" t="s">
        <v>2</v>
      </c>
      <c r="E110" t="s">
        <v>468</v>
      </c>
      <c r="F110">
        <v>-500</v>
      </c>
      <c r="G110">
        <v>500</v>
      </c>
      <c r="H110">
        <f t="shared" si="1"/>
        <v>40260</v>
      </c>
    </row>
    <row r="111" spans="1:8" x14ac:dyDescent="0.25">
      <c r="A111" t="s">
        <v>266</v>
      </c>
      <c r="B111">
        <v>109</v>
      </c>
      <c r="C111" t="s">
        <v>416</v>
      </c>
      <c r="D111" t="s">
        <v>2</v>
      </c>
      <c r="E111" t="s">
        <v>468</v>
      </c>
      <c r="F111">
        <v>-500</v>
      </c>
      <c r="G111">
        <v>500</v>
      </c>
      <c r="H111">
        <f t="shared" si="1"/>
        <v>40261</v>
      </c>
    </row>
    <row r="112" spans="1:8" x14ac:dyDescent="0.25">
      <c r="A112" t="s">
        <v>267</v>
      </c>
      <c r="B112">
        <v>110</v>
      </c>
      <c r="C112" t="s">
        <v>417</v>
      </c>
      <c r="D112" t="s">
        <v>2</v>
      </c>
      <c r="E112" t="s">
        <v>468</v>
      </c>
      <c r="F112">
        <v>1</v>
      </c>
      <c r="G112">
        <v>16</v>
      </c>
      <c r="H112">
        <f t="shared" si="1"/>
        <v>40265</v>
      </c>
    </row>
    <row r="113" spans="1:8" x14ac:dyDescent="0.25">
      <c r="A113" t="s">
        <v>268</v>
      </c>
      <c r="B113">
        <v>111</v>
      </c>
      <c r="C113" t="s">
        <v>418</v>
      </c>
      <c r="D113" t="s">
        <v>2</v>
      </c>
      <c r="E113" t="s">
        <v>468</v>
      </c>
      <c r="F113">
        <v>0</v>
      </c>
      <c r="G113">
        <v>8</v>
      </c>
      <c r="H113">
        <f t="shared" si="1"/>
        <v>40270</v>
      </c>
    </row>
    <row r="114" spans="1:8" x14ac:dyDescent="0.25">
      <c r="A114" t="s">
        <v>269</v>
      </c>
      <c r="B114">
        <v>112</v>
      </c>
      <c r="C114" t="s">
        <v>419</v>
      </c>
      <c r="D114" t="s">
        <v>2</v>
      </c>
      <c r="E114" t="s">
        <v>468</v>
      </c>
      <c r="F114">
        <v>0</v>
      </c>
      <c r="G114">
        <v>63</v>
      </c>
      <c r="H114">
        <f t="shared" si="1"/>
        <v>40271</v>
      </c>
    </row>
    <row r="115" spans="1:8" x14ac:dyDescent="0.25">
      <c r="A115" t="s">
        <v>270</v>
      </c>
      <c r="B115">
        <v>113</v>
      </c>
      <c r="C115" t="s">
        <v>420</v>
      </c>
      <c r="D115" t="s">
        <v>2</v>
      </c>
      <c r="E115" t="s">
        <v>468</v>
      </c>
      <c r="F115">
        <v>0</v>
      </c>
      <c r="G115">
        <v>63</v>
      </c>
      <c r="H115">
        <f t="shared" si="1"/>
        <v>40272</v>
      </c>
    </row>
    <row r="116" spans="1:8" x14ac:dyDescent="0.25">
      <c r="A116" t="s">
        <v>271</v>
      </c>
      <c r="B116">
        <v>114</v>
      </c>
      <c r="C116" t="s">
        <v>421</v>
      </c>
      <c r="D116" t="s">
        <v>2</v>
      </c>
      <c r="E116" t="s">
        <v>468</v>
      </c>
      <c r="F116">
        <v>0</v>
      </c>
      <c r="G116">
        <v>31</v>
      </c>
      <c r="H116">
        <f t="shared" si="1"/>
        <v>40273</v>
      </c>
    </row>
    <row r="117" spans="1:8" x14ac:dyDescent="0.25">
      <c r="A117" t="s">
        <v>272</v>
      </c>
      <c r="B117">
        <v>115</v>
      </c>
      <c r="C117" t="s">
        <v>422</v>
      </c>
      <c r="D117" t="s">
        <v>2</v>
      </c>
      <c r="E117" t="s">
        <v>468</v>
      </c>
      <c r="F117">
        <v>0</v>
      </c>
      <c r="G117">
        <v>63</v>
      </c>
      <c r="H117">
        <f t="shared" si="1"/>
        <v>40274</v>
      </c>
    </row>
    <row r="118" spans="1:8" x14ac:dyDescent="0.25">
      <c r="A118" t="s">
        <v>273</v>
      </c>
      <c r="B118">
        <v>116</v>
      </c>
      <c r="C118" t="s">
        <v>423</v>
      </c>
      <c r="D118" t="s">
        <v>2</v>
      </c>
      <c r="E118" t="s">
        <v>468</v>
      </c>
      <c r="F118">
        <v>0</v>
      </c>
      <c r="G118">
        <v>63</v>
      </c>
      <c r="H118">
        <f t="shared" si="1"/>
        <v>40275</v>
      </c>
    </row>
    <row r="119" spans="1:8" x14ac:dyDescent="0.25">
      <c r="A119" t="s">
        <v>274</v>
      </c>
      <c r="B119">
        <v>117</v>
      </c>
      <c r="C119" t="s">
        <v>424</v>
      </c>
      <c r="D119" t="s">
        <v>2</v>
      </c>
      <c r="E119" t="s">
        <v>468</v>
      </c>
      <c r="F119">
        <v>0</v>
      </c>
      <c r="G119">
        <v>31</v>
      </c>
      <c r="H119">
        <f t="shared" si="1"/>
        <v>40276</v>
      </c>
    </row>
    <row r="120" spans="1:8" x14ac:dyDescent="0.25">
      <c r="A120" t="s">
        <v>275</v>
      </c>
      <c r="B120">
        <v>118</v>
      </c>
      <c r="C120" t="s">
        <v>425</v>
      </c>
      <c r="D120" t="s">
        <v>2</v>
      </c>
      <c r="E120" t="s">
        <v>468</v>
      </c>
      <c r="F120">
        <v>-500</v>
      </c>
      <c r="G120">
        <v>500</v>
      </c>
      <c r="H120">
        <f t="shared" si="1"/>
        <v>40280</v>
      </c>
    </row>
    <row r="121" spans="1:8" x14ac:dyDescent="0.25">
      <c r="A121" t="s">
        <v>276</v>
      </c>
      <c r="B121">
        <v>119</v>
      </c>
      <c r="C121" t="s">
        <v>426</v>
      </c>
      <c r="D121" t="s">
        <v>2</v>
      </c>
      <c r="E121" t="s">
        <v>468</v>
      </c>
      <c r="F121">
        <v>-500</v>
      </c>
      <c r="G121">
        <v>500</v>
      </c>
      <c r="H121">
        <f t="shared" si="1"/>
        <v>40281</v>
      </c>
    </row>
    <row r="122" spans="1:8" x14ac:dyDescent="0.25">
      <c r="A122" t="s">
        <v>277</v>
      </c>
      <c r="B122">
        <v>120</v>
      </c>
      <c r="C122" t="s">
        <v>427</v>
      </c>
      <c r="D122" t="s">
        <v>2</v>
      </c>
      <c r="E122" t="s">
        <v>468</v>
      </c>
      <c r="F122">
        <v>1</v>
      </c>
      <c r="G122">
        <v>16</v>
      </c>
      <c r="H122">
        <f t="shared" si="1"/>
        <v>40285</v>
      </c>
    </row>
    <row r="123" spans="1:8" x14ac:dyDescent="0.25">
      <c r="A123" t="s">
        <v>278</v>
      </c>
      <c r="B123">
        <v>121</v>
      </c>
      <c r="C123" t="s">
        <v>428</v>
      </c>
      <c r="D123" t="s">
        <v>2</v>
      </c>
      <c r="E123" t="s">
        <v>468</v>
      </c>
      <c r="F123">
        <v>0</v>
      </c>
      <c r="G123">
        <v>8</v>
      </c>
      <c r="H123">
        <f t="shared" si="1"/>
        <v>40290</v>
      </c>
    </row>
    <row r="124" spans="1:8" x14ac:dyDescent="0.25">
      <c r="A124" t="s">
        <v>279</v>
      </c>
      <c r="B124">
        <v>122</v>
      </c>
      <c r="C124" t="s">
        <v>429</v>
      </c>
      <c r="D124" t="s">
        <v>2</v>
      </c>
      <c r="E124" t="s">
        <v>468</v>
      </c>
      <c r="F124">
        <v>0</v>
      </c>
      <c r="G124">
        <v>63</v>
      </c>
      <c r="H124">
        <f t="shared" si="1"/>
        <v>40291</v>
      </c>
    </row>
    <row r="125" spans="1:8" x14ac:dyDescent="0.25">
      <c r="A125" t="s">
        <v>280</v>
      </c>
      <c r="B125">
        <v>123</v>
      </c>
      <c r="C125" t="s">
        <v>430</v>
      </c>
      <c r="D125" t="s">
        <v>2</v>
      </c>
      <c r="E125" t="s">
        <v>468</v>
      </c>
      <c r="F125">
        <v>0</v>
      </c>
      <c r="G125">
        <v>63</v>
      </c>
      <c r="H125">
        <f t="shared" si="1"/>
        <v>40292</v>
      </c>
    </row>
    <row r="126" spans="1:8" x14ac:dyDescent="0.25">
      <c r="A126" t="s">
        <v>281</v>
      </c>
      <c r="B126">
        <v>124</v>
      </c>
      <c r="C126" t="s">
        <v>431</v>
      </c>
      <c r="D126" t="s">
        <v>2</v>
      </c>
      <c r="E126" t="s">
        <v>468</v>
      </c>
      <c r="F126">
        <v>0</v>
      </c>
      <c r="G126">
        <v>31</v>
      </c>
      <c r="H126">
        <f t="shared" si="1"/>
        <v>40293</v>
      </c>
    </row>
    <row r="127" spans="1:8" x14ac:dyDescent="0.25">
      <c r="A127" t="s">
        <v>282</v>
      </c>
      <c r="B127">
        <v>125</v>
      </c>
      <c r="C127" t="s">
        <v>432</v>
      </c>
      <c r="D127" t="s">
        <v>2</v>
      </c>
      <c r="E127" t="s">
        <v>468</v>
      </c>
      <c r="F127">
        <v>0</v>
      </c>
      <c r="G127">
        <v>63</v>
      </c>
      <c r="H127">
        <f t="shared" si="1"/>
        <v>40294</v>
      </c>
    </row>
    <row r="128" spans="1:8" x14ac:dyDescent="0.25">
      <c r="A128" t="s">
        <v>283</v>
      </c>
      <c r="B128">
        <v>126</v>
      </c>
      <c r="C128" t="s">
        <v>433</v>
      </c>
      <c r="D128" t="s">
        <v>2</v>
      </c>
      <c r="E128" t="s">
        <v>468</v>
      </c>
      <c r="F128">
        <v>0</v>
      </c>
      <c r="G128">
        <v>63</v>
      </c>
      <c r="H128">
        <f t="shared" si="1"/>
        <v>40295</v>
      </c>
    </row>
    <row r="129" spans="1:8" x14ac:dyDescent="0.25">
      <c r="A129" t="s">
        <v>284</v>
      </c>
      <c r="B129">
        <v>127</v>
      </c>
      <c r="C129" t="s">
        <v>434</v>
      </c>
      <c r="D129" t="s">
        <v>2</v>
      </c>
      <c r="E129" t="s">
        <v>468</v>
      </c>
      <c r="F129">
        <v>0</v>
      </c>
      <c r="G129">
        <v>31</v>
      </c>
      <c r="H129">
        <f t="shared" si="1"/>
        <v>40296</v>
      </c>
    </row>
    <row r="130" spans="1:8" x14ac:dyDescent="0.25">
      <c r="A130" t="s">
        <v>285</v>
      </c>
      <c r="B130">
        <v>128</v>
      </c>
      <c r="C130" t="s">
        <v>435</v>
      </c>
      <c r="D130" t="s">
        <v>2</v>
      </c>
      <c r="E130" t="s">
        <v>468</v>
      </c>
      <c r="F130">
        <v>-500</v>
      </c>
      <c r="G130">
        <v>500</v>
      </c>
      <c r="H130">
        <f t="shared" si="1"/>
        <v>40300</v>
      </c>
    </row>
    <row r="131" spans="1:8" x14ac:dyDescent="0.25">
      <c r="A131" t="s">
        <v>286</v>
      </c>
      <c r="B131">
        <v>129</v>
      </c>
      <c r="C131" t="s">
        <v>436</v>
      </c>
      <c r="D131" t="s">
        <v>2</v>
      </c>
      <c r="E131" t="s">
        <v>468</v>
      </c>
      <c r="F131">
        <v>-500</v>
      </c>
      <c r="G131">
        <v>500</v>
      </c>
      <c r="H131">
        <f t="shared" si="1"/>
        <v>40301</v>
      </c>
    </row>
    <row r="132" spans="1:8" x14ac:dyDescent="0.25">
      <c r="A132" t="s">
        <v>287</v>
      </c>
      <c r="B132">
        <v>130</v>
      </c>
      <c r="C132" t="s">
        <v>437</v>
      </c>
      <c r="D132" t="s">
        <v>2</v>
      </c>
      <c r="E132" t="s">
        <v>468</v>
      </c>
      <c r="F132">
        <v>1</v>
      </c>
      <c r="G132">
        <v>16</v>
      </c>
      <c r="H132">
        <f t="shared" si="1"/>
        <v>40305</v>
      </c>
    </row>
    <row r="133" spans="1:8" x14ac:dyDescent="0.25">
      <c r="A133" t="s">
        <v>288</v>
      </c>
      <c r="B133">
        <v>131</v>
      </c>
      <c r="C133" t="s">
        <v>438</v>
      </c>
      <c r="D133" t="s">
        <v>2</v>
      </c>
      <c r="E133" t="s">
        <v>468</v>
      </c>
      <c r="F133">
        <v>0</v>
      </c>
      <c r="G133">
        <v>8</v>
      </c>
      <c r="H133">
        <f t="shared" si="1"/>
        <v>40310</v>
      </c>
    </row>
    <row r="134" spans="1:8" x14ac:dyDescent="0.25">
      <c r="A134" t="s">
        <v>289</v>
      </c>
      <c r="B134">
        <v>132</v>
      </c>
      <c r="C134" t="s">
        <v>439</v>
      </c>
      <c r="D134" t="s">
        <v>2</v>
      </c>
      <c r="E134" t="s">
        <v>468</v>
      </c>
      <c r="F134">
        <v>0</v>
      </c>
      <c r="G134">
        <v>63</v>
      </c>
      <c r="H134">
        <f t="shared" si="1"/>
        <v>40311</v>
      </c>
    </row>
    <row r="135" spans="1:8" x14ac:dyDescent="0.25">
      <c r="A135" t="s">
        <v>290</v>
      </c>
      <c r="B135">
        <v>133</v>
      </c>
      <c r="C135" t="s">
        <v>440</v>
      </c>
      <c r="D135" t="s">
        <v>2</v>
      </c>
      <c r="E135" t="s">
        <v>468</v>
      </c>
      <c r="F135">
        <v>0</v>
      </c>
      <c r="G135">
        <v>63</v>
      </c>
      <c r="H135">
        <f t="shared" si="1"/>
        <v>40312</v>
      </c>
    </row>
    <row r="136" spans="1:8" x14ac:dyDescent="0.25">
      <c r="A136" t="s">
        <v>291</v>
      </c>
      <c r="B136">
        <v>134</v>
      </c>
      <c r="C136" t="s">
        <v>441</v>
      </c>
      <c r="D136" t="s">
        <v>2</v>
      </c>
      <c r="E136" t="s">
        <v>468</v>
      </c>
      <c r="F136">
        <v>0</v>
      </c>
      <c r="G136">
        <v>31</v>
      </c>
      <c r="H136">
        <f t="shared" si="1"/>
        <v>40313</v>
      </c>
    </row>
    <row r="137" spans="1:8" x14ac:dyDescent="0.25">
      <c r="A137" t="s">
        <v>292</v>
      </c>
      <c r="B137">
        <v>135</v>
      </c>
      <c r="C137" t="s">
        <v>442</v>
      </c>
      <c r="D137" t="s">
        <v>2</v>
      </c>
      <c r="E137" t="s">
        <v>468</v>
      </c>
      <c r="F137">
        <v>0</v>
      </c>
      <c r="G137">
        <v>63</v>
      </c>
      <c r="H137">
        <f t="shared" si="1"/>
        <v>40314</v>
      </c>
    </row>
    <row r="138" spans="1:8" x14ac:dyDescent="0.25">
      <c r="A138" t="s">
        <v>293</v>
      </c>
      <c r="B138">
        <v>136</v>
      </c>
      <c r="C138" t="s">
        <v>443</v>
      </c>
      <c r="D138" t="s">
        <v>2</v>
      </c>
      <c r="E138" t="s">
        <v>468</v>
      </c>
      <c r="F138">
        <v>0</v>
      </c>
      <c r="G138">
        <v>63</v>
      </c>
      <c r="H138">
        <f t="shared" si="1"/>
        <v>40315</v>
      </c>
    </row>
    <row r="139" spans="1:8" x14ac:dyDescent="0.25">
      <c r="A139" t="s">
        <v>294</v>
      </c>
      <c r="B139">
        <v>137</v>
      </c>
      <c r="C139" t="s">
        <v>444</v>
      </c>
      <c r="D139" t="s">
        <v>2</v>
      </c>
      <c r="E139" t="s">
        <v>468</v>
      </c>
      <c r="F139">
        <v>0</v>
      </c>
      <c r="G139">
        <v>31</v>
      </c>
      <c r="H139">
        <f t="shared" si="1"/>
        <v>40316</v>
      </c>
    </row>
    <row r="140" spans="1:8" x14ac:dyDescent="0.25">
      <c r="A140" t="s">
        <v>295</v>
      </c>
      <c r="B140">
        <v>138</v>
      </c>
      <c r="C140" t="s">
        <v>445</v>
      </c>
      <c r="D140" t="s">
        <v>2</v>
      </c>
      <c r="E140" t="s">
        <v>468</v>
      </c>
      <c r="F140">
        <v>-500</v>
      </c>
      <c r="G140">
        <v>500</v>
      </c>
      <c r="H140">
        <f t="shared" si="1"/>
        <v>40320</v>
      </c>
    </row>
    <row r="141" spans="1:8" x14ac:dyDescent="0.25">
      <c r="A141" t="s">
        <v>296</v>
      </c>
      <c r="B141">
        <v>139</v>
      </c>
      <c r="C141" t="s">
        <v>446</v>
      </c>
      <c r="D141" t="s">
        <v>2</v>
      </c>
      <c r="E141" t="s">
        <v>468</v>
      </c>
      <c r="F141">
        <v>-500</v>
      </c>
      <c r="G141">
        <v>500</v>
      </c>
      <c r="H141">
        <f t="shared" si="1"/>
        <v>40321</v>
      </c>
    </row>
    <row r="142" spans="1:8" x14ac:dyDescent="0.25">
      <c r="A142" t="s">
        <v>297</v>
      </c>
      <c r="B142">
        <v>140</v>
      </c>
      <c r="C142" t="s">
        <v>447</v>
      </c>
      <c r="D142" t="s">
        <v>2</v>
      </c>
      <c r="E142" t="s">
        <v>468</v>
      </c>
      <c r="F142">
        <v>1</v>
      </c>
      <c r="G142">
        <v>16</v>
      </c>
      <c r="H142">
        <f t="shared" ref="H142:H162" si="2">H132+20</f>
        <v>40325</v>
      </c>
    </row>
    <row r="143" spans="1:8" x14ac:dyDescent="0.25">
      <c r="A143" t="s">
        <v>298</v>
      </c>
      <c r="B143">
        <v>141</v>
      </c>
      <c r="C143" t="s">
        <v>448</v>
      </c>
      <c r="D143" t="s">
        <v>2</v>
      </c>
      <c r="E143" t="s">
        <v>468</v>
      </c>
      <c r="F143">
        <v>0</v>
      </c>
      <c r="G143">
        <v>8</v>
      </c>
      <c r="H143">
        <f t="shared" si="2"/>
        <v>40330</v>
      </c>
    </row>
    <row r="144" spans="1:8" x14ac:dyDescent="0.25">
      <c r="A144" t="s">
        <v>299</v>
      </c>
      <c r="B144">
        <v>142</v>
      </c>
      <c r="C144" t="s">
        <v>449</v>
      </c>
      <c r="D144" t="s">
        <v>2</v>
      </c>
      <c r="E144" t="s">
        <v>468</v>
      </c>
      <c r="F144">
        <v>0</v>
      </c>
      <c r="G144">
        <v>63</v>
      </c>
      <c r="H144">
        <f t="shared" si="2"/>
        <v>40331</v>
      </c>
    </row>
    <row r="145" spans="1:8" x14ac:dyDescent="0.25">
      <c r="A145" t="s">
        <v>300</v>
      </c>
      <c r="B145">
        <v>143</v>
      </c>
      <c r="C145" t="s">
        <v>450</v>
      </c>
      <c r="D145" t="s">
        <v>2</v>
      </c>
      <c r="E145" t="s">
        <v>468</v>
      </c>
      <c r="F145">
        <v>0</v>
      </c>
      <c r="G145">
        <v>63</v>
      </c>
      <c r="H145">
        <f t="shared" si="2"/>
        <v>40332</v>
      </c>
    </row>
    <row r="146" spans="1:8" x14ac:dyDescent="0.25">
      <c r="A146" t="s">
        <v>301</v>
      </c>
      <c r="B146">
        <v>144</v>
      </c>
      <c r="C146" t="s">
        <v>451</v>
      </c>
      <c r="D146" t="s">
        <v>2</v>
      </c>
      <c r="E146" t="s">
        <v>468</v>
      </c>
      <c r="F146">
        <v>0</v>
      </c>
      <c r="G146">
        <v>31</v>
      </c>
      <c r="H146">
        <f t="shared" si="2"/>
        <v>40333</v>
      </c>
    </row>
    <row r="147" spans="1:8" x14ac:dyDescent="0.25">
      <c r="A147" t="s">
        <v>302</v>
      </c>
      <c r="B147">
        <v>145</v>
      </c>
      <c r="C147" t="s">
        <v>452</v>
      </c>
      <c r="D147" t="s">
        <v>2</v>
      </c>
      <c r="E147" t="s">
        <v>468</v>
      </c>
      <c r="F147">
        <v>0</v>
      </c>
      <c r="G147">
        <v>63</v>
      </c>
      <c r="H147">
        <f t="shared" si="2"/>
        <v>40334</v>
      </c>
    </row>
    <row r="148" spans="1:8" x14ac:dyDescent="0.25">
      <c r="A148" t="s">
        <v>303</v>
      </c>
      <c r="B148">
        <v>146</v>
      </c>
      <c r="C148" t="s">
        <v>453</v>
      </c>
      <c r="D148" t="s">
        <v>2</v>
      </c>
      <c r="E148" t="s">
        <v>468</v>
      </c>
      <c r="F148">
        <v>0</v>
      </c>
      <c r="G148">
        <v>63</v>
      </c>
      <c r="H148">
        <f t="shared" si="2"/>
        <v>40335</v>
      </c>
    </row>
    <row r="149" spans="1:8" x14ac:dyDescent="0.25">
      <c r="A149" t="s">
        <v>304</v>
      </c>
      <c r="B149">
        <v>147</v>
      </c>
      <c r="C149" t="s">
        <v>454</v>
      </c>
      <c r="D149" t="s">
        <v>2</v>
      </c>
      <c r="E149" t="s">
        <v>468</v>
      </c>
      <c r="F149">
        <v>0</v>
      </c>
      <c r="G149">
        <v>31</v>
      </c>
      <c r="H149">
        <f t="shared" si="2"/>
        <v>40336</v>
      </c>
    </row>
    <row r="150" spans="1:8" x14ac:dyDescent="0.25">
      <c r="A150" t="s">
        <v>305</v>
      </c>
      <c r="B150">
        <v>148</v>
      </c>
      <c r="C150" t="s">
        <v>455</v>
      </c>
      <c r="D150" t="s">
        <v>2</v>
      </c>
      <c r="E150" t="s">
        <v>468</v>
      </c>
      <c r="F150">
        <v>-500</v>
      </c>
      <c r="G150">
        <v>500</v>
      </c>
      <c r="H150">
        <f t="shared" si="2"/>
        <v>40340</v>
      </c>
    </row>
    <row r="151" spans="1:8" x14ac:dyDescent="0.25">
      <c r="A151" t="s">
        <v>306</v>
      </c>
      <c r="B151">
        <v>149</v>
      </c>
      <c r="C151" t="s">
        <v>456</v>
      </c>
      <c r="D151" t="s">
        <v>2</v>
      </c>
      <c r="E151" t="s">
        <v>468</v>
      </c>
      <c r="F151">
        <v>-500</v>
      </c>
      <c r="G151">
        <v>500</v>
      </c>
      <c r="H151">
        <f t="shared" si="2"/>
        <v>40341</v>
      </c>
    </row>
    <row r="152" spans="1:8" x14ac:dyDescent="0.25">
      <c r="A152" t="s">
        <v>307</v>
      </c>
      <c r="B152">
        <v>150</v>
      </c>
      <c r="C152" t="s">
        <v>457</v>
      </c>
      <c r="D152" t="s">
        <v>2</v>
      </c>
      <c r="E152" t="s">
        <v>468</v>
      </c>
      <c r="F152">
        <v>1</v>
      </c>
      <c r="G152">
        <v>16</v>
      </c>
      <c r="H152">
        <f t="shared" si="2"/>
        <v>40345</v>
      </c>
    </row>
    <row r="153" spans="1:8" x14ac:dyDescent="0.25">
      <c r="A153" t="s">
        <v>308</v>
      </c>
      <c r="B153">
        <v>151</v>
      </c>
      <c r="C153" t="s">
        <v>458</v>
      </c>
      <c r="D153" t="s">
        <v>2</v>
      </c>
      <c r="E153" t="s">
        <v>468</v>
      </c>
      <c r="F153">
        <v>0</v>
      </c>
      <c r="G153">
        <v>8</v>
      </c>
      <c r="H153">
        <f t="shared" si="2"/>
        <v>40350</v>
      </c>
    </row>
    <row r="154" spans="1:8" x14ac:dyDescent="0.25">
      <c r="A154" t="s">
        <v>309</v>
      </c>
      <c r="B154">
        <v>152</v>
      </c>
      <c r="C154" t="s">
        <v>459</v>
      </c>
      <c r="D154" t="s">
        <v>2</v>
      </c>
      <c r="E154" t="s">
        <v>468</v>
      </c>
      <c r="F154">
        <v>0</v>
      </c>
      <c r="G154">
        <v>63</v>
      </c>
      <c r="H154">
        <f t="shared" si="2"/>
        <v>40351</v>
      </c>
    </row>
    <row r="155" spans="1:8" x14ac:dyDescent="0.25">
      <c r="A155" t="s">
        <v>310</v>
      </c>
      <c r="B155">
        <v>153</v>
      </c>
      <c r="C155" t="s">
        <v>460</v>
      </c>
      <c r="D155" t="s">
        <v>2</v>
      </c>
      <c r="E155" t="s">
        <v>468</v>
      </c>
      <c r="F155">
        <v>0</v>
      </c>
      <c r="G155">
        <v>63</v>
      </c>
      <c r="H155">
        <f t="shared" si="2"/>
        <v>40352</v>
      </c>
    </row>
    <row r="156" spans="1:8" x14ac:dyDescent="0.25">
      <c r="A156" t="s">
        <v>311</v>
      </c>
      <c r="B156">
        <v>154</v>
      </c>
      <c r="C156" t="s">
        <v>461</v>
      </c>
      <c r="D156" t="s">
        <v>2</v>
      </c>
      <c r="E156" t="s">
        <v>468</v>
      </c>
      <c r="F156">
        <v>0</v>
      </c>
      <c r="G156">
        <v>31</v>
      </c>
      <c r="H156">
        <f t="shared" si="2"/>
        <v>40353</v>
      </c>
    </row>
    <row r="157" spans="1:8" x14ac:dyDescent="0.25">
      <c r="A157" t="s">
        <v>312</v>
      </c>
      <c r="B157">
        <v>155</v>
      </c>
      <c r="C157" t="s">
        <v>462</v>
      </c>
      <c r="D157" t="s">
        <v>2</v>
      </c>
      <c r="E157" t="s">
        <v>468</v>
      </c>
      <c r="F157">
        <v>0</v>
      </c>
      <c r="G157">
        <v>63</v>
      </c>
      <c r="H157">
        <f t="shared" si="2"/>
        <v>40354</v>
      </c>
    </row>
    <row r="158" spans="1:8" x14ac:dyDescent="0.25">
      <c r="A158" t="s">
        <v>313</v>
      </c>
      <c r="B158">
        <v>156</v>
      </c>
      <c r="C158" t="s">
        <v>463</v>
      </c>
      <c r="D158" t="s">
        <v>2</v>
      </c>
      <c r="E158" t="s">
        <v>468</v>
      </c>
      <c r="F158">
        <v>0</v>
      </c>
      <c r="G158">
        <v>63</v>
      </c>
      <c r="H158">
        <f t="shared" si="2"/>
        <v>40355</v>
      </c>
    </row>
    <row r="159" spans="1:8" x14ac:dyDescent="0.25">
      <c r="A159" t="s">
        <v>314</v>
      </c>
      <c r="B159">
        <v>157</v>
      </c>
      <c r="C159" t="s">
        <v>464</v>
      </c>
      <c r="D159" t="s">
        <v>2</v>
      </c>
      <c r="E159" t="s">
        <v>468</v>
      </c>
      <c r="F159">
        <v>0</v>
      </c>
      <c r="G159">
        <v>31</v>
      </c>
      <c r="H159">
        <f t="shared" si="2"/>
        <v>40356</v>
      </c>
    </row>
    <row r="160" spans="1:8" x14ac:dyDescent="0.25">
      <c r="A160" t="s">
        <v>315</v>
      </c>
      <c r="B160">
        <v>158</v>
      </c>
      <c r="C160" t="s">
        <v>465</v>
      </c>
      <c r="D160" t="s">
        <v>2</v>
      </c>
      <c r="E160" t="s">
        <v>468</v>
      </c>
      <c r="F160">
        <v>-500</v>
      </c>
      <c r="G160">
        <v>500</v>
      </c>
      <c r="H160">
        <f t="shared" si="2"/>
        <v>40360</v>
      </c>
    </row>
    <row r="161" spans="1:8" x14ac:dyDescent="0.25">
      <c r="A161" t="s">
        <v>316</v>
      </c>
      <c r="B161">
        <v>159</v>
      </c>
      <c r="C161" t="s">
        <v>466</v>
      </c>
      <c r="D161" t="s">
        <v>2</v>
      </c>
      <c r="E161" t="s">
        <v>468</v>
      </c>
      <c r="F161">
        <v>-500</v>
      </c>
      <c r="G161">
        <v>500</v>
      </c>
      <c r="H161">
        <f t="shared" si="2"/>
        <v>40361</v>
      </c>
    </row>
    <row r="162" spans="1:8" x14ac:dyDescent="0.25">
      <c r="A162" t="s">
        <v>317</v>
      </c>
      <c r="B162">
        <v>160</v>
      </c>
      <c r="C162" t="s">
        <v>467</v>
      </c>
      <c r="D162" t="s">
        <v>2</v>
      </c>
      <c r="E162" t="s">
        <v>468</v>
      </c>
      <c r="F162">
        <v>1</v>
      </c>
      <c r="G162">
        <v>16</v>
      </c>
      <c r="H162">
        <f t="shared" si="2"/>
        <v>40365</v>
      </c>
    </row>
    <row r="163" spans="1:8" x14ac:dyDescent="0.25">
      <c r="A163" t="s">
        <v>470</v>
      </c>
      <c r="B163">
        <v>161</v>
      </c>
      <c r="C163" t="s">
        <v>476</v>
      </c>
      <c r="D163" t="s">
        <v>2</v>
      </c>
      <c r="E163" t="s">
        <v>468</v>
      </c>
      <c r="F163">
        <v>0</v>
      </c>
      <c r="G163">
        <v>90</v>
      </c>
      <c r="H163">
        <v>40019</v>
      </c>
    </row>
    <row r="164" spans="1:8" x14ac:dyDescent="0.25">
      <c r="A164" t="s">
        <v>471</v>
      </c>
      <c r="B164">
        <v>162</v>
      </c>
      <c r="C164" t="s">
        <v>477</v>
      </c>
      <c r="D164" t="s">
        <v>2</v>
      </c>
      <c r="E164" t="s">
        <v>468</v>
      </c>
      <c r="F164">
        <v>1</v>
      </c>
      <c r="G164">
        <v>90</v>
      </c>
      <c r="H164">
        <v>40020</v>
      </c>
    </row>
    <row r="165" spans="1:8" x14ac:dyDescent="0.25">
      <c r="A165" t="s">
        <v>472</v>
      </c>
      <c r="B165">
        <v>163</v>
      </c>
      <c r="C165" t="s">
        <v>478</v>
      </c>
      <c r="D165" t="s">
        <v>2</v>
      </c>
      <c r="E165" t="s">
        <v>468</v>
      </c>
      <c r="F165">
        <v>0</v>
      </c>
      <c r="G165">
        <v>90</v>
      </c>
      <c r="H165">
        <v>40021</v>
      </c>
    </row>
    <row r="166" spans="1:8" x14ac:dyDescent="0.25">
      <c r="A166" t="s">
        <v>473</v>
      </c>
      <c r="B166">
        <v>164</v>
      </c>
      <c r="C166" t="s">
        <v>479</v>
      </c>
      <c r="D166" t="s">
        <v>2</v>
      </c>
      <c r="E166" t="s">
        <v>468</v>
      </c>
      <c r="F166">
        <v>1</v>
      </c>
      <c r="G166">
        <v>90</v>
      </c>
      <c r="H166">
        <v>40022</v>
      </c>
    </row>
    <row r="167" spans="1:8" x14ac:dyDescent="0.25">
      <c r="A167" t="s">
        <v>474</v>
      </c>
      <c r="B167">
        <v>165</v>
      </c>
      <c r="C167" t="s">
        <v>480</v>
      </c>
      <c r="D167" t="s">
        <v>2</v>
      </c>
      <c r="E167" t="s">
        <v>468</v>
      </c>
      <c r="F167">
        <v>1</v>
      </c>
      <c r="G167">
        <v>10</v>
      </c>
      <c r="H167">
        <v>40034</v>
      </c>
    </row>
    <row r="168" spans="1:8" x14ac:dyDescent="0.25">
      <c r="A168" t="s">
        <v>475</v>
      </c>
      <c r="B168">
        <v>166</v>
      </c>
      <c r="C168" t="s">
        <v>481</v>
      </c>
      <c r="D168" t="s">
        <v>2</v>
      </c>
      <c r="E168" t="s">
        <v>468</v>
      </c>
      <c r="F168">
        <v>1</v>
      </c>
      <c r="G168">
        <v>10</v>
      </c>
      <c r="H168">
        <v>40035</v>
      </c>
    </row>
  </sheetData>
  <mergeCells count="7">
    <mergeCell ref="G1:G2"/>
    <mergeCell ref="B1:B2"/>
    <mergeCell ref="A1:A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3A829188-02D8-465F-AF85-FB4A0CDE9A2C}"/>
</file>

<file path=customXml/itemProps2.xml><?xml version="1.0" encoding="utf-8"?>
<ds:datastoreItem xmlns:ds="http://schemas.openxmlformats.org/officeDocument/2006/customXml" ds:itemID="{BABAB719-99C7-4131-B445-3E3A7925C04B}"/>
</file>

<file path=customXml/itemProps3.xml><?xml version="1.0" encoding="utf-8"?>
<ds:datastoreItem xmlns:ds="http://schemas.openxmlformats.org/officeDocument/2006/customXml" ds:itemID="{1FD1B1B9-9119-417C-A602-4B8F5938D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T2O</vt:lpstr>
      <vt:lpstr>O2T</vt:lpstr>
      <vt:lpstr>CFG</vt:lpstr>
      <vt:lpstr>fire_event (64h)</vt:lpstr>
      <vt:lpstr>base (65h)</vt:lpstr>
      <vt:lpstr>engine (66h)</vt:lpstr>
      <vt:lpstr>commission (300h)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2013-05-28T14:40:28Z</dcterms:modified>
</cp:coreProperties>
</file>