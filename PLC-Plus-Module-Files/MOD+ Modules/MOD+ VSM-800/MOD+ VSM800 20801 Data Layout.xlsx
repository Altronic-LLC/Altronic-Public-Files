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T2O" sheetId="4" r:id="rId1"/>
    <sheet name="O2T" sheetId="5" r:id="rId2"/>
    <sheet name="log (70h)" sheetId="9" r:id="rId3"/>
  </sheets>
  <calcPr calcId="145621"/>
</workbook>
</file>

<file path=xl/calcChain.xml><?xml version="1.0" encoding="utf-8"?>
<calcChain xmlns="http://schemas.openxmlformats.org/spreadsheetml/2006/main">
  <c r="C9" i="4" l="1"/>
  <c r="C13" i="4" s="1"/>
  <c r="C17" i="4" s="1"/>
  <c r="C21" i="4" s="1"/>
  <c r="C25" i="4" s="1"/>
  <c r="C29" i="4" s="1"/>
  <c r="C33" i="4" s="1"/>
  <c r="C10" i="4"/>
  <c r="C14" i="4" s="1"/>
  <c r="C18" i="4" s="1"/>
  <c r="C22" i="4" s="1"/>
  <c r="C26" i="4" s="1"/>
  <c r="C30" i="4" s="1"/>
  <c r="C34" i="4" s="1"/>
  <c r="C8" i="4"/>
  <c r="C12" i="4" s="1"/>
  <c r="C16" i="4" s="1"/>
  <c r="C20" i="4" s="1"/>
  <c r="C24" i="4" s="1"/>
  <c r="C28" i="4" s="1"/>
  <c r="C32" i="4" s="1"/>
</calcChain>
</file>

<file path=xl/sharedStrings.xml><?xml version="1.0" encoding="utf-8"?>
<sst xmlns="http://schemas.openxmlformats.org/spreadsheetml/2006/main" count="179" uniqueCount="123">
  <si>
    <t>INT</t>
  </si>
  <si>
    <t>Vibration Channel 1</t>
  </si>
  <si>
    <t>Vibration Channel 2</t>
  </si>
  <si>
    <t>Vibration Channel 3</t>
  </si>
  <si>
    <t>Vibration Channel 4</t>
  </si>
  <si>
    <t>Vibration Channel 5</t>
  </si>
  <si>
    <t>Vibration Channel 6</t>
  </si>
  <si>
    <t>Vibration Channel 7</t>
  </si>
  <si>
    <t>Vibration Channel 8</t>
  </si>
  <si>
    <t>Reserved</t>
  </si>
  <si>
    <t>SW1 Active</t>
  </si>
  <si>
    <t>SW2 Active</t>
  </si>
  <si>
    <t>CAL R/W</t>
  </si>
  <si>
    <t>Watchdog</t>
  </si>
  <si>
    <t>Reset</t>
  </si>
  <si>
    <t>Startup Locked Out</t>
  </si>
  <si>
    <t>Alarm</t>
  </si>
  <si>
    <t>Bad Sensor 1</t>
  </si>
  <si>
    <t>Bad Sensor 2</t>
  </si>
  <si>
    <t>Bad Sensor 3</t>
  </si>
  <si>
    <t>Bad Sensor 4</t>
  </si>
  <si>
    <t>Bad Sensor 5</t>
  </si>
  <si>
    <t>Bad Sensor 6</t>
  </si>
  <si>
    <t>Bad Sensor 7</t>
  </si>
  <si>
    <t>Bad Sensor 8</t>
  </si>
  <si>
    <t>Default</t>
  </si>
  <si>
    <t>Integers</t>
  </si>
  <si>
    <t>Size:</t>
  </si>
  <si>
    <t>n</t>
  </si>
  <si>
    <t>Value</t>
  </si>
  <si>
    <t>Bits:</t>
  </si>
  <si>
    <t>Diagnostic Bits</t>
  </si>
  <si>
    <t>Data Type:</t>
  </si>
  <si>
    <t>Instance:</t>
  </si>
  <si>
    <t>Min</t>
  </si>
  <si>
    <t>Max</t>
  </si>
  <si>
    <t>Attribute</t>
  </si>
  <si>
    <t>ID</t>
  </si>
  <si>
    <t>Tag</t>
  </si>
  <si>
    <t>Data Type</t>
  </si>
  <si>
    <t>Access</t>
  </si>
  <si>
    <t>Minimum</t>
  </si>
  <si>
    <t>Maximum</t>
  </si>
  <si>
    <t>Instance ID Register</t>
  </si>
  <si>
    <t>Parameter Range:</t>
  </si>
  <si>
    <t>Parameter Group(s):</t>
  </si>
  <si>
    <t>Group:</t>
  </si>
  <si>
    <t>Label Service Supported:</t>
  </si>
  <si>
    <t>Yes</t>
  </si>
  <si>
    <t>Key Command Service Supported:</t>
  </si>
  <si>
    <t>Number of Instances:</t>
  </si>
  <si>
    <t>Number of Attributes:</t>
  </si>
  <si>
    <t>Object Tag:</t>
  </si>
  <si>
    <t>Object ID:</t>
  </si>
  <si>
    <t>RO</t>
  </si>
  <si>
    <t>Bad Sensor Bits</t>
  </si>
  <si>
    <t>Critical High Bits</t>
  </si>
  <si>
    <t>High Bits</t>
  </si>
  <si>
    <t>Armed Bits</t>
  </si>
  <si>
    <t>Critical High 1</t>
  </si>
  <si>
    <t>Critical High 2</t>
  </si>
  <si>
    <t>Critical High 3</t>
  </si>
  <si>
    <t>Critical High 4</t>
  </si>
  <si>
    <t>Critical High 5</t>
  </si>
  <si>
    <t>Critical High 6</t>
  </si>
  <si>
    <t>Critical High 7</t>
  </si>
  <si>
    <t>Critical High 8</t>
  </si>
  <si>
    <t>Vibration High 1</t>
  </si>
  <si>
    <t>Vibration High 2</t>
  </si>
  <si>
    <t>Vibration High 3</t>
  </si>
  <si>
    <t>Vibration High 4</t>
  </si>
  <si>
    <t>Vibration High 5</t>
  </si>
  <si>
    <t>Vibration High 6</t>
  </si>
  <si>
    <t>Vibration High 7</t>
  </si>
  <si>
    <t>Vibration High 8</t>
  </si>
  <si>
    <t>Channel Armed 1</t>
  </si>
  <si>
    <t>Channel Armed 2</t>
  </si>
  <si>
    <t>Channel Armed 3</t>
  </si>
  <si>
    <t>Channel Armed 4</t>
  </si>
  <si>
    <t>Channel Armed 5</t>
  </si>
  <si>
    <t>Channel Armed 6</t>
  </si>
  <si>
    <t>Channel Armed 7</t>
  </si>
  <si>
    <t>Channel Armed 8</t>
  </si>
  <si>
    <t>label</t>
  </si>
  <si>
    <t>Event Log Entry</t>
  </si>
  <si>
    <t>log</t>
  </si>
  <si>
    <t>***</t>
  </si>
  <si>
    <t>Communication Status</t>
  </si>
  <si>
    <t>Status Control</t>
  </si>
  <si>
    <t>VSM800:I.Data[n]</t>
  </si>
  <si>
    <t>VSM-800 Register</t>
  </si>
  <si>
    <t>1-32</t>
  </si>
  <si>
    <t>Revision:</t>
  </si>
  <si>
    <t>Alarm Setpoint Channel 1</t>
  </si>
  <si>
    <t>Shutdown Setpoint Channel 1</t>
  </si>
  <si>
    <t>Bad Sensor Setpoint Channel 1</t>
  </si>
  <si>
    <t>Alarm Setpoint Channel 2</t>
  </si>
  <si>
    <t>Shutdown Setpoint Channel 2</t>
  </si>
  <si>
    <t>Bad Sensor Setpoint Channel 2</t>
  </si>
  <si>
    <t>Alarm Setpoint Channel 3</t>
  </si>
  <si>
    <t>Shutdown Setpoint Channel 3</t>
  </si>
  <si>
    <t>Bad Sensor Setpoint Channel 3</t>
  </si>
  <si>
    <t>Alarm Setpoint Channel 4</t>
  </si>
  <si>
    <t>Shutdown Setpoint Channel 4</t>
  </si>
  <si>
    <t>Bad Sensor Setpoint Channel 4</t>
  </si>
  <si>
    <t>Alarm Setpoint Channel 5</t>
  </si>
  <si>
    <t>Shutdown Setpoint Channel 5</t>
  </si>
  <si>
    <t>Bad Sensor Setpoint Channel 5</t>
  </si>
  <si>
    <t>Alarm Setpoint Channel 6</t>
  </si>
  <si>
    <t>Shutdown Setpoint Channel 6</t>
  </si>
  <si>
    <t>Bad Sensor Setpoint Channel 6</t>
  </si>
  <si>
    <t>Alarm Setpoint Channel 7</t>
  </si>
  <si>
    <t>Shutdown Setpoint Channel 7</t>
  </si>
  <si>
    <t>Bad Sensor Setpoint Channel 7</t>
  </si>
  <si>
    <t>Alarm Setpoint Channel 8</t>
  </si>
  <si>
    <t>Shutdown Setpoint Channel 8</t>
  </si>
  <si>
    <t>Bad Sensor Setpoint Channel 8</t>
  </si>
  <si>
    <t>10001-10016</t>
  </si>
  <si>
    <t>10017-10032</t>
  </si>
  <si>
    <t>10033-10048</t>
  </si>
  <si>
    <t>10049-10064</t>
  </si>
  <si>
    <t>10065-10080</t>
  </si>
  <si>
    <t>VSM800:O.Data[n]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</si>
</sst>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/>
    </xf>
    <xf numFmtId="1" fontId="0" fillId="0" borderId="0" xfId="0" applyNumberFormat="1"/>
    <xf numFmtId="1" fontId="0" fillId="0" borderId="0" xfId="0" quotePrefix="1" applyNumberForma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right"/>
    </xf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1" fillId="0" borderId="0" xfId="0" applyFont="1"/>
    <xf numFmtId="0" fontId="1" fillId="0" borderId="0" xfId="0" applyFont="1" applyAlignment="1">
      <alignment horizontal="right"/>
    </xf>
    <xf numFmtId="16" fontId="0" fillId="0" borderId="0" xfId="0" quotePrefix="1" applyNumberFormat="1" applyFont="1" applyAlignment="1">
      <alignment horizontal="left"/>
    </xf>
    <xf numFmtId="0" fontId="0" fillId="0" borderId="0" xfId="0" quotePrefix="1" applyFont="1" applyAlignment="1">
      <alignment horizontal="left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1"/>
  <sheetViews>
    <sheetView tabSelected="1" workbookViewId="0">
      <selection activeCell="M2" sqref="M2"/>
    </sheetView>
  </sheetViews>
  <sheetFormatPr defaultRowHeight="15" x14ac:dyDescent="0.25"/>
  <cols>
    <col min="1" max="1" width="3" bestFit="1" customWidth="1"/>
    <col min="2" max="2" width="28.42578125" bestFit="1" customWidth="1"/>
    <col min="3" max="3" width="16.7109375" style="6" bestFit="1" customWidth="1"/>
    <col min="4" max="4" width="10.28515625" bestFit="1" customWidth="1"/>
    <col min="5" max="5" width="4.85546875" bestFit="1" customWidth="1"/>
    <col min="6" max="6" width="18" bestFit="1" customWidth="1"/>
    <col min="7" max="7" width="14.5703125" bestFit="1" customWidth="1"/>
    <col min="8" max="8" width="15.42578125" bestFit="1" customWidth="1"/>
    <col min="9" max="9" width="15.28515625" bestFit="1" customWidth="1"/>
    <col min="10" max="10" width="16.28515625" bestFit="1" customWidth="1"/>
    <col min="11" max="11" width="10.28515625" customWidth="1"/>
    <col min="12" max="12" width="10.28515625" bestFit="1" customWidth="1"/>
    <col min="13" max="14" width="4.140625" bestFit="1" customWidth="1"/>
  </cols>
  <sheetData>
    <row r="1" spans="1:13" ht="18.75" x14ac:dyDescent="0.3">
      <c r="A1" s="13" t="s">
        <v>89</v>
      </c>
      <c r="B1" s="13"/>
      <c r="C1" s="13"/>
      <c r="F1" s="13" t="s">
        <v>26</v>
      </c>
      <c r="G1" s="13"/>
      <c r="H1" s="13"/>
      <c r="I1" s="13"/>
      <c r="J1" s="13"/>
      <c r="L1" t="s">
        <v>27</v>
      </c>
      <c r="M1">
        <v>38</v>
      </c>
    </row>
    <row r="2" spans="1:13" s="4" customFormat="1" x14ac:dyDescent="0.25">
      <c r="A2" s="4" t="s">
        <v>28</v>
      </c>
      <c r="B2" s="4" t="s">
        <v>29</v>
      </c>
      <c r="C2" s="4" t="s">
        <v>90</v>
      </c>
      <c r="E2" s="4" t="s">
        <v>30</v>
      </c>
      <c r="F2" s="5" t="s">
        <v>31</v>
      </c>
      <c r="G2" s="4" t="s">
        <v>55</v>
      </c>
      <c r="H2" s="4" t="s">
        <v>56</v>
      </c>
      <c r="I2" s="4" t="s">
        <v>57</v>
      </c>
      <c r="J2" s="4" t="s">
        <v>58</v>
      </c>
      <c r="L2" t="s">
        <v>32</v>
      </c>
      <c r="M2" t="s">
        <v>0</v>
      </c>
    </row>
    <row r="3" spans="1:13" x14ac:dyDescent="0.25">
      <c r="A3">
        <v>0</v>
      </c>
      <c r="B3" t="s">
        <v>1</v>
      </c>
      <c r="C3" s="6">
        <v>30015</v>
      </c>
      <c r="E3">
        <v>0</v>
      </c>
      <c r="F3" t="s">
        <v>9</v>
      </c>
      <c r="G3" t="s">
        <v>17</v>
      </c>
      <c r="H3" t="s">
        <v>59</v>
      </c>
      <c r="I3" t="s">
        <v>67</v>
      </c>
      <c r="J3" t="s">
        <v>75</v>
      </c>
      <c r="L3" s="1" t="s">
        <v>33</v>
      </c>
      <c r="M3" s="1">
        <v>100</v>
      </c>
    </row>
    <row r="4" spans="1:13" x14ac:dyDescent="0.25">
      <c r="A4">
        <v>1</v>
      </c>
      <c r="B4" t="s">
        <v>93</v>
      </c>
      <c r="C4" s="6">
        <v>40044</v>
      </c>
      <c r="E4">
        <v>1</v>
      </c>
      <c r="F4" t="s">
        <v>9</v>
      </c>
      <c r="G4" t="s">
        <v>18</v>
      </c>
      <c r="H4" t="s">
        <v>60</v>
      </c>
      <c r="I4" t="s">
        <v>68</v>
      </c>
      <c r="J4" t="s">
        <v>76</v>
      </c>
    </row>
    <row r="5" spans="1:13" x14ac:dyDescent="0.25">
      <c r="A5">
        <v>2</v>
      </c>
      <c r="B5" t="s">
        <v>94</v>
      </c>
      <c r="C5" s="6">
        <v>40045</v>
      </c>
      <c r="E5">
        <v>2</v>
      </c>
      <c r="F5" t="s">
        <v>10</v>
      </c>
      <c r="G5" t="s">
        <v>19</v>
      </c>
      <c r="H5" t="s">
        <v>61</v>
      </c>
      <c r="I5" t="s">
        <v>69</v>
      </c>
      <c r="J5" t="s">
        <v>77</v>
      </c>
    </row>
    <row r="6" spans="1:13" x14ac:dyDescent="0.25">
      <c r="A6">
        <v>3</v>
      </c>
      <c r="B6" t="s">
        <v>95</v>
      </c>
      <c r="C6" s="6">
        <v>40046</v>
      </c>
      <c r="E6">
        <v>3</v>
      </c>
      <c r="F6" t="s">
        <v>11</v>
      </c>
      <c r="G6" t="s">
        <v>20</v>
      </c>
      <c r="H6" t="s">
        <v>62</v>
      </c>
      <c r="I6" t="s">
        <v>70</v>
      </c>
      <c r="J6" t="s">
        <v>78</v>
      </c>
    </row>
    <row r="7" spans="1:13" x14ac:dyDescent="0.25">
      <c r="A7">
        <v>4</v>
      </c>
      <c r="B7" t="s">
        <v>2</v>
      </c>
      <c r="C7" s="6">
        <v>30016</v>
      </c>
      <c r="E7">
        <v>4</v>
      </c>
      <c r="F7" t="s">
        <v>9</v>
      </c>
      <c r="G7" t="s">
        <v>21</v>
      </c>
      <c r="H7" t="s">
        <v>63</v>
      </c>
      <c r="I7" t="s">
        <v>71</v>
      </c>
      <c r="J7" t="s">
        <v>79</v>
      </c>
    </row>
    <row r="8" spans="1:13" x14ac:dyDescent="0.25">
      <c r="A8">
        <v>5</v>
      </c>
      <c r="B8" t="s">
        <v>96</v>
      </c>
      <c r="C8" s="6">
        <f>C4+20</f>
        <v>40064</v>
      </c>
      <c r="E8">
        <v>5</v>
      </c>
      <c r="F8" t="s">
        <v>9</v>
      </c>
      <c r="G8" t="s">
        <v>22</v>
      </c>
      <c r="H8" t="s">
        <v>64</v>
      </c>
      <c r="I8" t="s">
        <v>72</v>
      </c>
      <c r="J8" t="s">
        <v>80</v>
      </c>
    </row>
    <row r="9" spans="1:13" x14ac:dyDescent="0.25">
      <c r="A9">
        <v>6</v>
      </c>
      <c r="B9" t="s">
        <v>97</v>
      </c>
      <c r="C9" s="6">
        <f t="shared" ref="C9:C34" si="0">C5+20</f>
        <v>40065</v>
      </c>
      <c r="E9">
        <v>6</v>
      </c>
      <c r="F9" t="s">
        <v>9</v>
      </c>
      <c r="G9" t="s">
        <v>23</v>
      </c>
      <c r="H9" t="s">
        <v>65</v>
      </c>
      <c r="I9" t="s">
        <v>73</v>
      </c>
      <c r="J9" t="s">
        <v>81</v>
      </c>
    </row>
    <row r="10" spans="1:13" x14ac:dyDescent="0.25">
      <c r="A10">
        <v>7</v>
      </c>
      <c r="B10" t="s">
        <v>98</v>
      </c>
      <c r="C10" s="6">
        <f t="shared" si="0"/>
        <v>40066</v>
      </c>
      <c r="E10">
        <v>7</v>
      </c>
      <c r="F10" t="s">
        <v>9</v>
      </c>
      <c r="G10" t="s">
        <v>24</v>
      </c>
      <c r="H10" t="s">
        <v>66</v>
      </c>
      <c r="I10" t="s">
        <v>74</v>
      </c>
      <c r="J10" t="s">
        <v>82</v>
      </c>
    </row>
    <row r="11" spans="1:13" x14ac:dyDescent="0.25">
      <c r="A11">
        <v>8</v>
      </c>
      <c r="B11" t="s">
        <v>3</v>
      </c>
      <c r="C11" s="6">
        <v>30017</v>
      </c>
      <c r="E11">
        <v>8</v>
      </c>
      <c r="F11" t="s">
        <v>12</v>
      </c>
      <c r="G11" t="s">
        <v>9</v>
      </c>
      <c r="H11" t="s">
        <v>9</v>
      </c>
      <c r="I11" t="s">
        <v>9</v>
      </c>
      <c r="J11" t="s">
        <v>9</v>
      </c>
    </row>
    <row r="12" spans="1:13" x14ac:dyDescent="0.25">
      <c r="A12">
        <v>9</v>
      </c>
      <c r="B12" t="s">
        <v>99</v>
      </c>
      <c r="C12" s="6">
        <f t="shared" si="0"/>
        <v>40084</v>
      </c>
      <c r="E12">
        <v>9</v>
      </c>
      <c r="F12" t="s">
        <v>13</v>
      </c>
      <c r="G12" t="s">
        <v>9</v>
      </c>
      <c r="H12" t="s">
        <v>9</v>
      </c>
      <c r="I12" t="s">
        <v>9</v>
      </c>
      <c r="J12" t="s">
        <v>9</v>
      </c>
    </row>
    <row r="13" spans="1:13" x14ac:dyDescent="0.25">
      <c r="A13">
        <v>10</v>
      </c>
      <c r="B13" t="s">
        <v>100</v>
      </c>
      <c r="C13" s="6">
        <f t="shared" si="0"/>
        <v>40085</v>
      </c>
      <c r="E13">
        <v>10</v>
      </c>
      <c r="F13" t="s">
        <v>14</v>
      </c>
      <c r="G13" t="s">
        <v>9</v>
      </c>
      <c r="H13" t="s">
        <v>9</v>
      </c>
      <c r="I13" t="s">
        <v>9</v>
      </c>
      <c r="J13" t="s">
        <v>9</v>
      </c>
    </row>
    <row r="14" spans="1:13" x14ac:dyDescent="0.25">
      <c r="A14">
        <v>11</v>
      </c>
      <c r="B14" t="s">
        <v>101</v>
      </c>
      <c r="C14" s="6">
        <f t="shared" si="0"/>
        <v>40086</v>
      </c>
      <c r="E14">
        <v>11</v>
      </c>
      <c r="F14" t="s">
        <v>9</v>
      </c>
      <c r="G14" t="s">
        <v>9</v>
      </c>
      <c r="H14" t="s">
        <v>9</v>
      </c>
      <c r="I14" t="s">
        <v>9</v>
      </c>
      <c r="J14" t="s">
        <v>9</v>
      </c>
    </row>
    <row r="15" spans="1:13" x14ac:dyDescent="0.25">
      <c r="A15">
        <v>12</v>
      </c>
      <c r="B15" t="s">
        <v>4</v>
      </c>
      <c r="C15" s="6">
        <v>30018</v>
      </c>
      <c r="E15">
        <v>12</v>
      </c>
      <c r="F15" t="s">
        <v>15</v>
      </c>
      <c r="G15" t="s">
        <v>9</v>
      </c>
      <c r="H15" t="s">
        <v>9</v>
      </c>
      <c r="I15" t="s">
        <v>9</v>
      </c>
      <c r="J15" t="s">
        <v>9</v>
      </c>
    </row>
    <row r="16" spans="1:13" x14ac:dyDescent="0.25">
      <c r="A16">
        <v>13</v>
      </c>
      <c r="B16" t="s">
        <v>102</v>
      </c>
      <c r="C16" s="6">
        <f t="shared" si="0"/>
        <v>40104</v>
      </c>
      <c r="E16">
        <v>13</v>
      </c>
      <c r="F16" t="s">
        <v>16</v>
      </c>
      <c r="G16" t="s">
        <v>9</v>
      </c>
      <c r="H16" t="s">
        <v>9</v>
      </c>
      <c r="I16" t="s">
        <v>9</v>
      </c>
      <c r="J16" t="s">
        <v>9</v>
      </c>
    </row>
    <row r="17" spans="1:10" x14ac:dyDescent="0.25">
      <c r="A17">
        <v>14</v>
      </c>
      <c r="B17" t="s">
        <v>103</v>
      </c>
      <c r="C17" s="6">
        <f t="shared" si="0"/>
        <v>40105</v>
      </c>
      <c r="E17">
        <v>14</v>
      </c>
      <c r="F17" t="s">
        <v>9</v>
      </c>
      <c r="G17" t="s">
        <v>9</v>
      </c>
      <c r="H17" t="s">
        <v>9</v>
      </c>
      <c r="I17" t="s">
        <v>9</v>
      </c>
      <c r="J17" t="s">
        <v>9</v>
      </c>
    </row>
    <row r="18" spans="1:10" x14ac:dyDescent="0.25">
      <c r="A18">
        <v>15</v>
      </c>
      <c r="B18" t="s">
        <v>104</v>
      </c>
      <c r="C18" s="6">
        <f t="shared" si="0"/>
        <v>40106</v>
      </c>
      <c r="E18">
        <v>15</v>
      </c>
      <c r="F18" t="s">
        <v>9</v>
      </c>
      <c r="G18" t="s">
        <v>9</v>
      </c>
      <c r="H18" t="s">
        <v>9</v>
      </c>
      <c r="I18" t="s">
        <v>9</v>
      </c>
      <c r="J18" t="s">
        <v>9</v>
      </c>
    </row>
    <row r="19" spans="1:10" x14ac:dyDescent="0.25">
      <c r="A19">
        <v>16</v>
      </c>
      <c r="B19" t="s">
        <v>5</v>
      </c>
      <c r="C19" s="6">
        <v>30019</v>
      </c>
    </row>
    <row r="20" spans="1:10" x14ac:dyDescent="0.25">
      <c r="A20">
        <v>17</v>
      </c>
      <c r="B20" t="s">
        <v>105</v>
      </c>
      <c r="C20" s="6">
        <f t="shared" si="0"/>
        <v>40124</v>
      </c>
    </row>
    <row r="21" spans="1:10" x14ac:dyDescent="0.25">
      <c r="A21">
        <v>18</v>
      </c>
      <c r="B21" t="s">
        <v>106</v>
      </c>
      <c r="C21" s="6">
        <f t="shared" si="0"/>
        <v>40125</v>
      </c>
    </row>
    <row r="22" spans="1:10" x14ac:dyDescent="0.25">
      <c r="A22">
        <v>19</v>
      </c>
      <c r="B22" t="s">
        <v>107</v>
      </c>
      <c r="C22" s="6">
        <f t="shared" si="0"/>
        <v>40126</v>
      </c>
    </row>
    <row r="23" spans="1:10" x14ac:dyDescent="0.25">
      <c r="A23">
        <v>20</v>
      </c>
      <c r="B23" t="s">
        <v>6</v>
      </c>
      <c r="C23" s="6">
        <v>30020</v>
      </c>
    </row>
    <row r="24" spans="1:10" x14ac:dyDescent="0.25">
      <c r="A24">
        <v>21</v>
      </c>
      <c r="B24" t="s">
        <v>108</v>
      </c>
      <c r="C24" s="6">
        <f t="shared" si="0"/>
        <v>40144</v>
      </c>
    </row>
    <row r="25" spans="1:10" x14ac:dyDescent="0.25">
      <c r="A25">
        <v>22</v>
      </c>
      <c r="B25" t="s">
        <v>109</v>
      </c>
      <c r="C25" s="6">
        <f t="shared" si="0"/>
        <v>40145</v>
      </c>
    </row>
    <row r="26" spans="1:10" x14ac:dyDescent="0.25">
      <c r="A26">
        <v>23</v>
      </c>
      <c r="B26" t="s">
        <v>110</v>
      </c>
      <c r="C26" s="6">
        <f t="shared" si="0"/>
        <v>40146</v>
      </c>
    </row>
    <row r="27" spans="1:10" x14ac:dyDescent="0.25">
      <c r="A27">
        <v>24</v>
      </c>
      <c r="B27" t="s">
        <v>7</v>
      </c>
      <c r="C27" s="6">
        <v>30021</v>
      </c>
    </row>
    <row r="28" spans="1:10" x14ac:dyDescent="0.25">
      <c r="A28">
        <v>25</v>
      </c>
      <c r="B28" t="s">
        <v>111</v>
      </c>
      <c r="C28" s="6">
        <f t="shared" si="0"/>
        <v>40164</v>
      </c>
    </row>
    <row r="29" spans="1:10" x14ac:dyDescent="0.25">
      <c r="A29">
        <v>26</v>
      </c>
      <c r="B29" t="s">
        <v>112</v>
      </c>
      <c r="C29" s="6">
        <f t="shared" si="0"/>
        <v>40165</v>
      </c>
    </row>
    <row r="30" spans="1:10" x14ac:dyDescent="0.25">
      <c r="A30">
        <v>27</v>
      </c>
      <c r="B30" t="s">
        <v>113</v>
      </c>
      <c r="C30" s="6">
        <f t="shared" si="0"/>
        <v>40166</v>
      </c>
    </row>
    <row r="31" spans="1:10" x14ac:dyDescent="0.25">
      <c r="A31">
        <v>28</v>
      </c>
      <c r="B31" t="s">
        <v>8</v>
      </c>
      <c r="C31" s="6">
        <v>30022</v>
      </c>
    </row>
    <row r="32" spans="1:10" x14ac:dyDescent="0.25">
      <c r="A32">
        <v>29</v>
      </c>
      <c r="B32" t="s">
        <v>114</v>
      </c>
      <c r="C32" s="6">
        <f t="shared" si="0"/>
        <v>40184</v>
      </c>
    </row>
    <row r="33" spans="1:3" x14ac:dyDescent="0.25">
      <c r="A33">
        <v>30</v>
      </c>
      <c r="B33" t="s">
        <v>115</v>
      </c>
      <c r="C33" s="6">
        <f t="shared" si="0"/>
        <v>40185</v>
      </c>
    </row>
    <row r="34" spans="1:3" x14ac:dyDescent="0.25">
      <c r="A34">
        <v>31</v>
      </c>
      <c r="B34" t="s">
        <v>116</v>
      </c>
      <c r="C34" s="6">
        <f t="shared" si="0"/>
        <v>40186</v>
      </c>
    </row>
    <row r="35" spans="1:3" x14ac:dyDescent="0.25">
      <c r="A35">
        <v>32</v>
      </c>
      <c r="B35" t="s">
        <v>31</v>
      </c>
      <c r="C35" s="6" t="s">
        <v>117</v>
      </c>
    </row>
    <row r="36" spans="1:3" x14ac:dyDescent="0.25">
      <c r="A36">
        <v>33</v>
      </c>
      <c r="B36" t="s">
        <v>55</v>
      </c>
      <c r="C36" s="6" t="s">
        <v>118</v>
      </c>
    </row>
    <row r="37" spans="1:3" x14ac:dyDescent="0.25">
      <c r="A37">
        <v>34</v>
      </c>
      <c r="B37" t="s">
        <v>56</v>
      </c>
      <c r="C37" s="6" t="s">
        <v>119</v>
      </c>
    </row>
    <row r="38" spans="1:3" x14ac:dyDescent="0.25">
      <c r="A38">
        <v>35</v>
      </c>
      <c r="B38" t="s">
        <v>57</v>
      </c>
      <c r="C38" s="6" t="s">
        <v>120</v>
      </c>
    </row>
    <row r="39" spans="1:3" x14ac:dyDescent="0.25">
      <c r="A39">
        <v>36</v>
      </c>
      <c r="B39" t="s">
        <v>58</v>
      </c>
      <c r="C39" s="6" t="s">
        <v>121</v>
      </c>
    </row>
    <row r="40" spans="1:3" x14ac:dyDescent="0.25">
      <c r="A40">
        <v>37</v>
      </c>
      <c r="B40" t="s">
        <v>87</v>
      </c>
      <c r="C40" s="6" t="s">
        <v>86</v>
      </c>
    </row>
    <row r="41" spans="1:3" x14ac:dyDescent="0.25">
      <c r="B41" s="7"/>
    </row>
    <row r="42" spans="1:3" x14ac:dyDescent="0.25">
      <c r="B42" s="7"/>
    </row>
    <row r="49" spans="2:3" x14ac:dyDescent="0.25">
      <c r="B49" s="7"/>
    </row>
    <row r="50" spans="2:3" x14ac:dyDescent="0.25">
      <c r="B50" s="7"/>
    </row>
    <row r="51" spans="2:3" x14ac:dyDescent="0.25">
      <c r="B51" s="7"/>
    </row>
    <row r="52" spans="2:3" x14ac:dyDescent="0.25">
      <c r="B52" s="7"/>
    </row>
    <row r="53" spans="2:3" x14ac:dyDescent="0.25">
      <c r="B53" s="7"/>
    </row>
    <row r="54" spans="2:3" x14ac:dyDescent="0.25">
      <c r="B54" s="7"/>
    </row>
    <row r="55" spans="2:3" x14ac:dyDescent="0.25">
      <c r="B55" s="7"/>
    </row>
    <row r="56" spans="2:3" x14ac:dyDescent="0.25">
      <c r="B56" s="7"/>
    </row>
    <row r="57" spans="2:3" x14ac:dyDescent="0.25">
      <c r="B57" s="7"/>
    </row>
    <row r="58" spans="2:3" x14ac:dyDescent="0.25">
      <c r="B58" s="7"/>
      <c r="C58" s="8"/>
    </row>
    <row r="59" spans="2:3" x14ac:dyDescent="0.25">
      <c r="B59" s="7"/>
      <c r="C59" s="8"/>
    </row>
    <row r="60" spans="2:3" x14ac:dyDescent="0.25">
      <c r="B60" s="7"/>
      <c r="C60" s="8"/>
    </row>
    <row r="61" spans="2:3" x14ac:dyDescent="0.25">
      <c r="B61" s="7"/>
      <c r="C61" s="8"/>
    </row>
  </sheetData>
  <mergeCells count="2">
    <mergeCell ref="A1:C1"/>
    <mergeCell ref="F1:J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workbookViewId="0">
      <selection activeCell="I2" sqref="I2"/>
    </sheetView>
  </sheetViews>
  <sheetFormatPr defaultRowHeight="15" x14ac:dyDescent="0.25"/>
  <cols>
    <col min="1" max="1" width="3" bestFit="1" customWidth="1"/>
    <col min="2" max="2" width="24.28515625" bestFit="1" customWidth="1"/>
    <col min="3" max="3" width="16.7109375" style="6" bestFit="1" customWidth="1"/>
    <col min="4" max="4" width="6.7109375" style="6" bestFit="1" customWidth="1"/>
    <col min="5" max="5" width="6" style="6" bestFit="1" customWidth="1"/>
    <col min="6" max="6" width="7.5703125" style="6" bestFit="1" customWidth="1"/>
    <col min="7" max="8" width="10.28515625" bestFit="1" customWidth="1"/>
    <col min="9" max="10" width="4.140625" bestFit="1" customWidth="1"/>
  </cols>
  <sheetData>
    <row r="1" spans="1:9" ht="18.75" x14ac:dyDescent="0.3">
      <c r="A1" s="13" t="s">
        <v>122</v>
      </c>
      <c r="B1" s="13"/>
      <c r="C1" s="13"/>
      <c r="D1" s="13"/>
      <c r="E1" s="13"/>
      <c r="F1" s="13"/>
      <c r="H1" t="s">
        <v>27</v>
      </c>
      <c r="I1">
        <v>1</v>
      </c>
    </row>
    <row r="2" spans="1:9" s="4" customFormat="1" x14ac:dyDescent="0.25">
      <c r="A2" s="4" t="s">
        <v>28</v>
      </c>
      <c r="B2" s="4" t="s">
        <v>29</v>
      </c>
      <c r="C2" s="4" t="s">
        <v>90</v>
      </c>
      <c r="D2" s="4" t="s">
        <v>34</v>
      </c>
      <c r="E2" s="4" t="s">
        <v>35</v>
      </c>
      <c r="F2" s="4" t="s">
        <v>25</v>
      </c>
      <c r="H2" t="s">
        <v>32</v>
      </c>
      <c r="I2" t="s">
        <v>0</v>
      </c>
    </row>
    <row r="3" spans="1:9" x14ac:dyDescent="0.25">
      <c r="A3">
        <v>0</v>
      </c>
      <c r="B3" t="s">
        <v>88</v>
      </c>
      <c r="C3" s="6" t="s">
        <v>86</v>
      </c>
      <c r="D3" s="6">
        <v>-32767</v>
      </c>
      <c r="E3" s="6">
        <v>32767</v>
      </c>
      <c r="F3" s="3">
        <v>0</v>
      </c>
      <c r="H3" s="1" t="s">
        <v>33</v>
      </c>
      <c r="I3" s="1">
        <v>101</v>
      </c>
    </row>
    <row r="4" spans="1:9" x14ac:dyDescent="0.25">
      <c r="F4" s="2"/>
    </row>
    <row r="5" spans="1:9" x14ac:dyDescent="0.25">
      <c r="F5" s="2"/>
    </row>
    <row r="6" spans="1:9" x14ac:dyDescent="0.25">
      <c r="C6" s="8"/>
      <c r="F6" s="2"/>
    </row>
    <row r="7" spans="1:9" x14ac:dyDescent="0.25">
      <c r="F7" s="2"/>
    </row>
    <row r="8" spans="1:9" x14ac:dyDescent="0.25">
      <c r="F8" s="2"/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0"/>
  <sheetViews>
    <sheetView workbookViewId="0">
      <selection activeCell="AO40" sqref="AO40"/>
    </sheetView>
  </sheetViews>
  <sheetFormatPr defaultRowHeight="15" x14ac:dyDescent="0.25"/>
  <cols>
    <col min="1" max="1" width="14.5703125" bestFit="1" customWidth="1"/>
    <col min="2" max="2" width="2.85546875" bestFit="1" customWidth="1"/>
    <col min="3" max="3" width="5.42578125" bestFit="1" customWidth="1"/>
    <col min="4" max="4" width="9.7109375" bestFit="1" customWidth="1"/>
    <col min="5" max="5" width="6.85546875" bestFit="1" customWidth="1"/>
    <col min="6" max="6" width="9.85546875" bestFit="1" customWidth="1"/>
    <col min="7" max="7" width="10.28515625" bestFit="1" customWidth="1"/>
    <col min="8" max="39" width="6" style="6" bestFit="1" customWidth="1"/>
    <col min="41" max="41" width="31.5703125" bestFit="1" customWidth="1"/>
    <col min="42" max="42" width="10.28515625" style="1" bestFit="1" customWidth="1"/>
  </cols>
  <sheetData>
    <row r="1" spans="1:42" s="9" customFormat="1" x14ac:dyDescent="0.25">
      <c r="A1" s="14" t="s">
        <v>36</v>
      </c>
      <c r="B1" s="14" t="s">
        <v>37</v>
      </c>
      <c r="C1" s="14" t="s">
        <v>38</v>
      </c>
      <c r="D1" s="14" t="s">
        <v>39</v>
      </c>
      <c r="E1" s="14" t="s">
        <v>40</v>
      </c>
      <c r="F1" s="14" t="s">
        <v>41</v>
      </c>
      <c r="G1" s="14" t="s">
        <v>42</v>
      </c>
      <c r="H1" s="15" t="s">
        <v>43</v>
      </c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O1" s="10" t="s">
        <v>44</v>
      </c>
      <c r="AP1" s="12" t="s">
        <v>91</v>
      </c>
    </row>
    <row r="2" spans="1:42" s="9" customFormat="1" x14ac:dyDescent="0.25">
      <c r="A2" s="14"/>
      <c r="B2" s="14"/>
      <c r="C2" s="14"/>
      <c r="D2" s="14"/>
      <c r="E2" s="14"/>
      <c r="F2" s="14"/>
      <c r="G2" s="14"/>
      <c r="H2" s="4">
        <v>1</v>
      </c>
      <c r="I2" s="4">
        <v>2</v>
      </c>
      <c r="J2" s="4">
        <v>3</v>
      </c>
      <c r="K2" s="4">
        <v>4</v>
      </c>
      <c r="L2" s="4">
        <v>5</v>
      </c>
      <c r="M2" s="4">
        <v>6</v>
      </c>
      <c r="N2" s="4">
        <v>7</v>
      </c>
      <c r="O2" s="4">
        <v>8</v>
      </c>
      <c r="P2" s="4">
        <v>9</v>
      </c>
      <c r="Q2" s="4">
        <v>10</v>
      </c>
      <c r="R2" s="4">
        <v>11</v>
      </c>
      <c r="S2" s="4">
        <v>12</v>
      </c>
      <c r="T2" s="4">
        <v>13</v>
      </c>
      <c r="U2" s="4">
        <v>14</v>
      </c>
      <c r="V2" s="4">
        <v>15</v>
      </c>
      <c r="W2" s="4">
        <v>16</v>
      </c>
      <c r="X2" s="4">
        <v>17</v>
      </c>
      <c r="Y2" s="4">
        <v>18</v>
      </c>
      <c r="Z2" s="4">
        <v>19</v>
      </c>
      <c r="AA2" s="4">
        <v>20</v>
      </c>
      <c r="AB2" s="4">
        <v>21</v>
      </c>
      <c r="AC2" s="4">
        <v>22</v>
      </c>
      <c r="AD2" s="4">
        <v>23</v>
      </c>
      <c r="AE2" s="4">
        <v>24</v>
      </c>
      <c r="AF2" s="4">
        <v>25</v>
      </c>
      <c r="AG2" s="4">
        <v>26</v>
      </c>
      <c r="AH2" s="4">
        <v>27</v>
      </c>
      <c r="AI2" s="4">
        <v>28</v>
      </c>
      <c r="AJ2" s="4">
        <v>29</v>
      </c>
      <c r="AK2" s="4">
        <v>30</v>
      </c>
      <c r="AL2" s="4">
        <v>31</v>
      </c>
      <c r="AM2" s="4">
        <v>32</v>
      </c>
      <c r="AO2" s="10" t="s">
        <v>45</v>
      </c>
      <c r="AP2" s="11" t="s">
        <v>91</v>
      </c>
    </row>
    <row r="3" spans="1:42" x14ac:dyDescent="0.25">
      <c r="A3" t="s">
        <v>84</v>
      </c>
      <c r="B3">
        <v>1</v>
      </c>
      <c r="C3" t="s">
        <v>83</v>
      </c>
      <c r="D3" t="s">
        <v>0</v>
      </c>
      <c r="E3" t="s">
        <v>54</v>
      </c>
      <c r="H3" s="6">
        <v>30030</v>
      </c>
      <c r="I3" s="6">
        <v>30031</v>
      </c>
      <c r="J3" s="6">
        <v>30032</v>
      </c>
      <c r="K3" s="6">
        <v>30033</v>
      </c>
      <c r="L3" s="6">
        <v>30034</v>
      </c>
      <c r="M3" s="6">
        <v>30035</v>
      </c>
      <c r="N3" s="6">
        <v>30036</v>
      </c>
      <c r="O3" s="6">
        <v>30037</v>
      </c>
      <c r="P3" s="6">
        <v>30038</v>
      </c>
      <c r="Q3" s="6">
        <v>30039</v>
      </c>
      <c r="R3" s="6">
        <v>30040</v>
      </c>
      <c r="S3" s="6">
        <v>30041</v>
      </c>
      <c r="T3" s="6">
        <v>30042</v>
      </c>
      <c r="U3" s="6">
        <v>30043</v>
      </c>
      <c r="V3" s="6">
        <v>30044</v>
      </c>
      <c r="W3" s="6">
        <v>30045</v>
      </c>
      <c r="X3" s="6">
        <v>30046</v>
      </c>
      <c r="Y3" s="6">
        <v>30047</v>
      </c>
      <c r="Z3" s="6">
        <v>30048</v>
      </c>
      <c r="AA3" s="6">
        <v>30049</v>
      </c>
      <c r="AB3" s="6">
        <v>30050</v>
      </c>
      <c r="AC3" s="6">
        <v>30051</v>
      </c>
      <c r="AD3" s="6">
        <v>30052</v>
      </c>
      <c r="AE3" s="6">
        <v>30053</v>
      </c>
      <c r="AF3" s="6">
        <v>30054</v>
      </c>
      <c r="AG3" s="6">
        <v>30055</v>
      </c>
      <c r="AH3" s="6">
        <v>30056</v>
      </c>
      <c r="AI3" s="6">
        <v>30057</v>
      </c>
      <c r="AJ3" s="6">
        <v>30058</v>
      </c>
      <c r="AK3" s="6">
        <v>30059</v>
      </c>
      <c r="AL3" s="6">
        <v>30060</v>
      </c>
      <c r="AM3" s="6">
        <v>30061</v>
      </c>
      <c r="AO3" s="10" t="s">
        <v>46</v>
      </c>
      <c r="AP3" s="1">
        <v>1</v>
      </c>
    </row>
    <row r="4" spans="1:42" x14ac:dyDescent="0.25">
      <c r="AO4" s="10" t="s">
        <v>47</v>
      </c>
      <c r="AP4" s="1" t="s">
        <v>48</v>
      </c>
    </row>
    <row r="5" spans="1:42" x14ac:dyDescent="0.25">
      <c r="AO5" s="10" t="s">
        <v>49</v>
      </c>
      <c r="AP5" s="1" t="s">
        <v>48</v>
      </c>
    </row>
    <row r="6" spans="1:42" x14ac:dyDescent="0.25">
      <c r="AO6" s="10" t="s">
        <v>50</v>
      </c>
      <c r="AP6" s="1">
        <v>32</v>
      </c>
    </row>
    <row r="7" spans="1:42" x14ac:dyDescent="0.25">
      <c r="AO7" s="10" t="s">
        <v>51</v>
      </c>
      <c r="AP7" s="1">
        <v>1</v>
      </c>
    </row>
    <row r="8" spans="1:42" x14ac:dyDescent="0.25">
      <c r="AO8" s="10" t="s">
        <v>52</v>
      </c>
      <c r="AP8" s="1" t="s">
        <v>85</v>
      </c>
    </row>
    <row r="9" spans="1:42" x14ac:dyDescent="0.25">
      <c r="AO9" s="10" t="s">
        <v>53</v>
      </c>
      <c r="AP9" s="1">
        <v>106</v>
      </c>
    </row>
    <row r="10" spans="1:42" x14ac:dyDescent="0.25">
      <c r="AO10" s="10" t="s">
        <v>92</v>
      </c>
      <c r="AP10" s="1">
        <v>2</v>
      </c>
    </row>
  </sheetData>
  <mergeCells count="8">
    <mergeCell ref="G1:G2"/>
    <mergeCell ref="H1:AM1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40618AF6D2824082B558746682274C" ma:contentTypeVersion="0" ma:contentTypeDescription="Create a new document." ma:contentTypeScope="" ma:versionID="e65666517536ccffa28b6de9d4c4937d">
  <xsd:schema xmlns:xsd="http://www.w3.org/2001/XMLSchema" xmlns:p="http://schemas.microsoft.com/office/2006/metadata/properties" targetNamespace="http://schemas.microsoft.com/office/2006/metadata/properties" ma:root="true" ma:fieldsID="4aeb20c0e3442673af7ee1078645876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/>
</p:properties>
</file>

<file path=customXml/itemProps1.xml><?xml version="1.0" encoding="utf-8"?>
<ds:datastoreItem xmlns:ds="http://schemas.openxmlformats.org/officeDocument/2006/customXml" ds:itemID="{689222E1-0437-4BD4-A167-144860AAB702}"/>
</file>

<file path=customXml/itemProps2.xml><?xml version="1.0" encoding="utf-8"?>
<ds:datastoreItem xmlns:ds="http://schemas.openxmlformats.org/officeDocument/2006/customXml" ds:itemID="{FB6C1ADE-B209-43B4-8025-C1E80C7CDE5D}"/>
</file>

<file path=customXml/itemProps3.xml><?xml version="1.0" encoding="utf-8"?>
<ds:datastoreItem xmlns:ds="http://schemas.openxmlformats.org/officeDocument/2006/customXml" ds:itemID="{F5BAC56D-8096-4720-9ADE-764E273D514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T2O</vt:lpstr>
      <vt:lpstr>O2T</vt:lpstr>
      <vt:lpstr>log (70h)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2014-01-08T17:01:10Z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0x010100B140618AF6D2824082B558746682274C</vt:lpwstr>
  </property>
</Properties>
</file>