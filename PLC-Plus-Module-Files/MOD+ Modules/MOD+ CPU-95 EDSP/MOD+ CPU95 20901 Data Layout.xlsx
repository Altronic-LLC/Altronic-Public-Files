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T2O" sheetId="1" r:id="rId1"/>
    <sheet name="O2T" sheetId="2" r:id="rId2"/>
    <sheet name="cylinder (74h)" sheetId="3" r:id="rId3"/>
    <sheet name="ignition (72h)" sheetId="4" r:id="rId4"/>
    <sheet name="ignlabel (73h)" sheetId="6" r:id="rId5"/>
  </sheets>
  <calcPr calcId="145621"/>
</workbook>
</file>

<file path=xl/calcChain.xml><?xml version="1.0" encoding="utf-8"?>
<calcChain xmlns="http://schemas.openxmlformats.org/spreadsheetml/2006/main">
  <c r="I3" i="6" l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I9" i="3" l="1"/>
  <c r="I10" i="3"/>
  <c r="I11" i="3"/>
  <c r="I12" i="3"/>
  <c r="I13" i="3" s="1"/>
  <c r="I14" i="3" s="1"/>
  <c r="J8" i="3" s="1"/>
  <c r="J9" i="3" s="1"/>
  <c r="J10" i="3" s="1"/>
  <c r="J11" i="3" s="1"/>
  <c r="J12" i="3" s="1"/>
  <c r="J13" i="3" s="1"/>
  <c r="J14" i="3" s="1"/>
  <c r="K8" i="3" s="1"/>
  <c r="K9" i="3" s="1"/>
  <c r="K10" i="3" s="1"/>
  <c r="K11" i="3" s="1"/>
  <c r="K12" i="3" s="1"/>
  <c r="K13" i="3" s="1"/>
  <c r="K14" i="3" s="1"/>
  <c r="L8" i="3" s="1"/>
  <c r="L9" i="3" s="1"/>
  <c r="L10" i="3" s="1"/>
  <c r="L11" i="3" s="1"/>
  <c r="L12" i="3" s="1"/>
  <c r="L13" i="3" s="1"/>
  <c r="L14" i="3" s="1"/>
  <c r="M8" i="3" s="1"/>
  <c r="M9" i="3" s="1"/>
  <c r="M10" i="3" s="1"/>
  <c r="M11" i="3" s="1"/>
  <c r="M12" i="3" s="1"/>
  <c r="M13" i="3" s="1"/>
  <c r="M14" i="3" s="1"/>
  <c r="N8" i="3" s="1"/>
  <c r="N9" i="3" s="1"/>
  <c r="N10" i="3" s="1"/>
  <c r="N11" i="3" s="1"/>
  <c r="N12" i="3" s="1"/>
  <c r="N13" i="3" s="1"/>
  <c r="N14" i="3" s="1"/>
  <c r="O8" i="3" s="1"/>
  <c r="O9" i="3" s="1"/>
  <c r="O10" i="3" s="1"/>
  <c r="O11" i="3" s="1"/>
  <c r="O12" i="3" s="1"/>
  <c r="O13" i="3" s="1"/>
  <c r="O14" i="3" s="1"/>
  <c r="P8" i="3" s="1"/>
  <c r="P9" i="3" s="1"/>
  <c r="P10" i="3" s="1"/>
  <c r="P11" i="3" s="1"/>
  <c r="P12" i="3" s="1"/>
  <c r="P13" i="3" s="1"/>
  <c r="P14" i="3" s="1"/>
  <c r="Q8" i="3" s="1"/>
  <c r="Q9" i="3" s="1"/>
  <c r="Q10" i="3" s="1"/>
  <c r="Q11" i="3" s="1"/>
  <c r="Q12" i="3" s="1"/>
  <c r="Q13" i="3" s="1"/>
  <c r="Q14" i="3" s="1"/>
  <c r="R8" i="3" s="1"/>
  <c r="R9" i="3" s="1"/>
  <c r="R10" i="3" s="1"/>
  <c r="R11" i="3" s="1"/>
  <c r="R12" i="3" s="1"/>
  <c r="R13" i="3" s="1"/>
  <c r="R14" i="3" s="1"/>
  <c r="S8" i="3" s="1"/>
  <c r="S9" i="3" s="1"/>
  <c r="S10" i="3" s="1"/>
  <c r="S11" i="3" s="1"/>
  <c r="S12" i="3" s="1"/>
  <c r="S13" i="3" s="1"/>
  <c r="S14" i="3" s="1"/>
  <c r="T8" i="3" s="1"/>
  <c r="T9" i="3" s="1"/>
  <c r="T10" i="3" s="1"/>
  <c r="T11" i="3" s="1"/>
  <c r="T12" i="3" s="1"/>
  <c r="T13" i="3" s="1"/>
  <c r="T14" i="3" s="1"/>
  <c r="U8" i="3" s="1"/>
  <c r="U9" i="3" s="1"/>
  <c r="U10" i="3" s="1"/>
  <c r="U11" i="3" s="1"/>
  <c r="U12" i="3" s="1"/>
  <c r="U13" i="3" s="1"/>
  <c r="U14" i="3" s="1"/>
  <c r="V8" i="3" s="1"/>
  <c r="V9" i="3" s="1"/>
  <c r="V10" i="3" s="1"/>
  <c r="V11" i="3" s="1"/>
  <c r="V12" i="3" s="1"/>
  <c r="V13" i="3" s="1"/>
  <c r="V14" i="3" s="1"/>
  <c r="W8" i="3" s="1"/>
  <c r="W9" i="3" s="1"/>
  <c r="W10" i="3" s="1"/>
  <c r="W11" i="3" s="1"/>
  <c r="W12" i="3" s="1"/>
  <c r="W13" i="3" s="1"/>
  <c r="W14" i="3" s="1"/>
  <c r="X8" i="3" s="1"/>
  <c r="X9" i="3" s="1"/>
  <c r="X10" i="3" s="1"/>
  <c r="X11" i="3" s="1"/>
  <c r="X12" i="3" s="1"/>
  <c r="X13" i="3" s="1"/>
  <c r="X14" i="3" s="1"/>
  <c r="Y8" i="3" s="1"/>
  <c r="Y9" i="3" s="1"/>
  <c r="Y10" i="3" s="1"/>
  <c r="Y11" i="3" s="1"/>
  <c r="Y12" i="3" s="1"/>
  <c r="Y13" i="3" s="1"/>
  <c r="Y14" i="3" s="1"/>
  <c r="Z8" i="3" s="1"/>
  <c r="Z9" i="3" s="1"/>
  <c r="Z10" i="3" s="1"/>
  <c r="Z11" i="3" s="1"/>
  <c r="Z12" i="3" s="1"/>
  <c r="Z13" i="3" s="1"/>
  <c r="Z14" i="3" s="1"/>
  <c r="AA8" i="3" s="1"/>
  <c r="AA9" i="3" s="1"/>
  <c r="AA10" i="3" s="1"/>
  <c r="AA11" i="3" s="1"/>
  <c r="AA12" i="3" s="1"/>
  <c r="AA13" i="3" s="1"/>
  <c r="AA14" i="3" s="1"/>
  <c r="I8" i="3"/>
  <c r="H10" i="3"/>
  <c r="H11" i="3"/>
  <c r="H12" i="3" s="1"/>
  <c r="H13" i="3" s="1"/>
  <c r="H14" i="3" s="1"/>
  <c r="H9" i="3"/>
  <c r="I4" i="1" l="1"/>
  <c r="I5" i="1"/>
  <c r="I6" i="1"/>
  <c r="I7" i="1"/>
  <c r="I8" i="1"/>
  <c r="I9" i="1"/>
  <c r="I10" i="1"/>
  <c r="C92" i="1"/>
  <c r="C93" i="1" s="1"/>
  <c r="C94" i="1" s="1"/>
  <c r="C95" i="1" s="1"/>
  <c r="C82" i="1"/>
  <c r="C83" i="1" s="1"/>
  <c r="C84" i="1" s="1"/>
  <c r="C85" i="1" s="1"/>
  <c r="C86" i="1" s="1"/>
  <c r="C87" i="1" s="1"/>
  <c r="C88" i="1" s="1"/>
  <c r="C89" i="1" s="1"/>
  <c r="C90" i="1" s="1"/>
</calcChain>
</file>

<file path=xl/sharedStrings.xml><?xml version="1.0" encoding="utf-8"?>
<sst xmlns="http://schemas.openxmlformats.org/spreadsheetml/2006/main" count="681" uniqueCount="403">
  <si>
    <t>Size:</t>
  </si>
  <si>
    <t>Data Type:</t>
  </si>
  <si>
    <t>INT</t>
  </si>
  <si>
    <t>Instance:</t>
  </si>
  <si>
    <t>Value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</si>
  <si>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</si>
  <si>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</si>
  <si>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</si>
  <si>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</si>
  <si>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</si>
  <si>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</si>
  <si>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</si>
  <si>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</si>
  <si>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EDSP Register</t>
  </si>
  <si>
    <t>Engine RPM</t>
  </si>
  <si>
    <t>Engine Max RPM</t>
  </si>
  <si>
    <t>RPM Overspeed Setting</t>
  </si>
  <si>
    <t>Fault Gearteeth Counts</t>
  </si>
  <si>
    <t>4-20mA Analog Input (.098mA/bit)</t>
  </si>
  <si>
    <t>Counts to Degrees Scaler</t>
  </si>
  <si>
    <t>Global Timing Counts</t>
  </si>
  <si>
    <t>Manual Retard Counts</t>
  </si>
  <si>
    <t>Onestep Retard Counts</t>
  </si>
  <si>
    <t>Analog Retard Counts</t>
  </si>
  <si>
    <t>RPM Retard Counts</t>
  </si>
  <si>
    <t>Serial Retard Counts</t>
  </si>
  <si>
    <t>Maximum Retard Counts</t>
  </si>
  <si>
    <t>Standard Offset Counts</t>
  </si>
  <si>
    <t>Reference Angle of reset pin Counts</t>
  </si>
  <si>
    <t>Number of Cylinders</t>
  </si>
  <si>
    <t>Engine Diagnostic Average</t>
  </si>
  <si>
    <t>Communication Status Register</t>
  </si>
  <si>
    <t>COV Cylinder 1</t>
  </si>
  <si>
    <t>CAVG Cylinder 1</t>
  </si>
  <si>
    <t>CAVG Cylinder 2</t>
  </si>
  <si>
    <t>CAVG Cylinder 3</t>
  </si>
  <si>
    <t>CAVG Cylinder 4</t>
  </si>
  <si>
    <t>CAVG Cylinder 5</t>
  </si>
  <si>
    <t>CAVG Cylinder 6</t>
  </si>
  <si>
    <t>CAVG Cylinder 7</t>
  </si>
  <si>
    <t>CAVG Cylinder 8</t>
  </si>
  <si>
    <t>CAVG Cylinder 9</t>
  </si>
  <si>
    <t>CAVG Cylinder 10</t>
  </si>
  <si>
    <t>CAVG Cylinder 11</t>
  </si>
  <si>
    <t>CAVG Cylinder 12</t>
  </si>
  <si>
    <t>CAVG Cylinder 13</t>
  </si>
  <si>
    <t>CAVG Cylinder 14</t>
  </si>
  <si>
    <t>CAVG Cylinder 15</t>
  </si>
  <si>
    <t>CAVG Cylinder 16</t>
  </si>
  <si>
    <t>CAVG Cylinder 17</t>
  </si>
  <si>
    <t>CAVG Cylinder 18</t>
  </si>
  <si>
    <t>CAVG Cylinder 19</t>
  </si>
  <si>
    <t>CAVG Cylinder 20</t>
  </si>
  <si>
    <t>COV Cylinder 2</t>
  </si>
  <si>
    <t>COV Cylinder 3</t>
  </si>
  <si>
    <t>COV Cylinder 4</t>
  </si>
  <si>
    <t>COV Cylinder 5</t>
  </si>
  <si>
    <t>COV Cylinder 6</t>
  </si>
  <si>
    <t>COV Cylinder 7</t>
  </si>
  <si>
    <t>COV Cylinder 8</t>
  </si>
  <si>
    <t>COV Cylinder 9</t>
  </si>
  <si>
    <t>COV Cylinder 10</t>
  </si>
  <si>
    <t>COV Cylinder 11</t>
  </si>
  <si>
    <t>COV Cylinder 12</t>
  </si>
  <si>
    <t>COV Cylinder 13</t>
  </si>
  <si>
    <t>COV Cylinder 14</t>
  </si>
  <si>
    <t>COV Cylinder 15</t>
  </si>
  <si>
    <t>COV Cylinder 16</t>
  </si>
  <si>
    <t>COV Cylinder 17</t>
  </si>
  <si>
    <t>COV Cylinder 18</t>
  </si>
  <si>
    <t>COV Cylinder 19</t>
  </si>
  <si>
    <t>COV Cylinder 20</t>
  </si>
  <si>
    <t>Cylinder Retard (Deg*10) 1</t>
  </si>
  <si>
    <t>Cylinder Retard (Deg*10) 2</t>
  </si>
  <si>
    <t>Cylinder Retard (Deg*10) 3</t>
  </si>
  <si>
    <t>Cylinder Retard (Deg*10) 4</t>
  </si>
  <si>
    <t>Cylinder Retard (Deg*10) 5</t>
  </si>
  <si>
    <t>Cylinder Retard (Deg*10) 6</t>
  </si>
  <si>
    <t>Cylinder Retard (Deg*10) 7</t>
  </si>
  <si>
    <t>Cylinder Retard (Deg*10) 8</t>
  </si>
  <si>
    <t>Cylinder Retard (Deg*10) 9</t>
  </si>
  <si>
    <t>Cylinder Retard (Deg*10) 10</t>
  </si>
  <si>
    <t>Cylinder Retard (Deg*10) 11</t>
  </si>
  <si>
    <t>Cylinder Retard (Deg*10) 12</t>
  </si>
  <si>
    <t>Cylinder Retard (Deg*10) 13</t>
  </si>
  <si>
    <t>Cylinder Retard (Deg*10) 14</t>
  </si>
  <si>
    <t>Cylinder Retard (Deg*10) 15</t>
  </si>
  <si>
    <t>Cylinder Retard (Deg*10) 16</t>
  </si>
  <si>
    <t>Cylinder Retard (Deg*10) 17</t>
  </si>
  <si>
    <t>Cylinder Retard (Deg*10) 18</t>
  </si>
  <si>
    <t>Cylinder Retard (Deg*10) 19</t>
  </si>
  <si>
    <t>Cylinder Retard (Deg*10) 20</t>
  </si>
  <si>
    <t>Cylinder Diagnostic Bits 1&amp;2</t>
  </si>
  <si>
    <t>Cylinder Diagnostic Bits 3&amp;4</t>
  </si>
  <si>
    <t>Cylinder Diagnostic Bits 5&amp;6</t>
  </si>
  <si>
    <t>Cylinder Diagnostic Bits 7&amp;8</t>
  </si>
  <si>
    <t>Cylinder Diagnostic Bits 9&amp;10</t>
  </si>
  <si>
    <t>Cylinder Diagnostic Bits 11&amp;12</t>
  </si>
  <si>
    <t>Cylinder Diagnostic Bits 13&amp;14</t>
  </si>
  <si>
    <t>Cylinder Diagnostic Bits 15&amp;16</t>
  </si>
  <si>
    <t>Cylinder Diagnostic Bits 17&amp;18</t>
  </si>
  <si>
    <t>Cylinder Diagnostic Bits 19&amp;20</t>
  </si>
  <si>
    <t>Cylinder Diagnostic Bits</t>
  </si>
  <si>
    <t>No Secondary Spark</t>
  </si>
  <si>
    <t>Low From Engine</t>
  </si>
  <si>
    <t>High Voltage</t>
  </si>
  <si>
    <t>High From Engine</t>
  </si>
  <si>
    <t>Low Voltage</t>
  </si>
  <si>
    <t>Shorted Primary</t>
  </si>
  <si>
    <t>Open Primary</t>
  </si>
  <si>
    <t>Duplicate of above but for next cylinder</t>
  </si>
  <si>
    <t>Shutdown</t>
  </si>
  <si>
    <t>Warning</t>
  </si>
  <si>
    <t>Fault</t>
  </si>
  <si>
    <t>Fired</t>
  </si>
  <si>
    <t>Alarm Out Active</t>
  </si>
  <si>
    <t>Firing</t>
  </si>
  <si>
    <t>Pickups OK</t>
  </si>
  <si>
    <t>Rotating</t>
  </si>
  <si>
    <t>One Step Active</t>
  </si>
  <si>
    <t>E1 Active</t>
  </si>
  <si>
    <t>E2 Active</t>
  </si>
  <si>
    <t>E3 Active</t>
  </si>
  <si>
    <t>Multistrike Active</t>
  </si>
  <si>
    <t>No Gear Tooth Signal</t>
  </si>
  <si>
    <t>No Reset Signal</t>
  </si>
  <si>
    <t>No Cycle Reset Signal</t>
  </si>
  <si>
    <t>Wrong Number of Gear Teeth</t>
  </si>
  <si>
    <t>Overspeed</t>
  </si>
  <si>
    <t>4-20 Current Loop out of range</t>
  </si>
  <si>
    <t>Firmware Chechsum Error</t>
  </si>
  <si>
    <t>EEPROM Checksum Fail</t>
  </si>
  <si>
    <t>Display Module Failure</t>
  </si>
  <si>
    <t>EEPROM Protection Enabled</t>
  </si>
  <si>
    <t>Serial Retard Enabled</t>
  </si>
  <si>
    <t>RPM Retard Map Enabled</t>
  </si>
  <si>
    <t>4-20mA Map Enabled</t>
  </si>
  <si>
    <t>E1 Enabled</t>
  </si>
  <si>
    <t>E2 Enabled</t>
  </si>
  <si>
    <t>E3 Enabled</t>
  </si>
  <si>
    <t>Multistrike Enabled</t>
  </si>
  <si>
    <t>Fire Confirm</t>
  </si>
  <si>
    <t>Shutdown Status</t>
  </si>
  <si>
    <t>Alarm Output</t>
  </si>
  <si>
    <t>Transcode (4x/8x)</t>
  </si>
  <si>
    <t>Skip Control</t>
  </si>
  <si>
    <t>CMDPAGE2</t>
  </si>
  <si>
    <t>Two Cycle</t>
  </si>
  <si>
    <t>CHKPAGE2</t>
  </si>
  <si>
    <t>Misc Input Status</t>
  </si>
  <si>
    <t>Misc Remote Input Status</t>
  </si>
  <si>
    <t>20 Output Module</t>
  </si>
  <si>
    <t>18 Output Module</t>
  </si>
  <si>
    <t>Dual Capacitor</t>
  </si>
  <si>
    <t>Filter Module</t>
  </si>
  <si>
    <t>Misc In Onestep</t>
  </si>
  <si>
    <t>Misc In Fire Maximum Energy</t>
  </si>
  <si>
    <t>Misc In Fire Multistrike</t>
  </si>
  <si>
    <t>RPM &lt; 200 Onestep</t>
  </si>
  <si>
    <t>RPM &lt; 200 Fire Maximum Energy</t>
  </si>
  <si>
    <t>RPM &lt; 200 Fire Multistrike</t>
  </si>
  <si>
    <t>Retard Counts Cylinder 1</t>
  </si>
  <si>
    <t>MAX Retard</t>
  </si>
  <si>
    <t>Retard Counts Cylinder 2</t>
  </si>
  <si>
    <t>Retard Counts Cylinder 3</t>
  </si>
  <si>
    <t>Retard Counts Cylinder 4</t>
  </si>
  <si>
    <t>Retard Counts Cylinder 5</t>
  </si>
  <si>
    <t>Retard Counts Cylinder 6</t>
  </si>
  <si>
    <t>Retard Counts Cylinder 7</t>
  </si>
  <si>
    <t>Retard Counts Cylinder 8</t>
  </si>
  <si>
    <t>Retard Counts Cylinder 9</t>
  </si>
  <si>
    <t>Retard Counts Cylinder 10</t>
  </si>
  <si>
    <t>Retard Counts Cylinder 11</t>
  </si>
  <si>
    <t>Retard Counts Cylinder 12</t>
  </si>
  <si>
    <t>Retard Counts Cylinder 13</t>
  </si>
  <si>
    <t>Retard Counts Cylinder 14</t>
  </si>
  <si>
    <t>Retard Counts Cylinder 15</t>
  </si>
  <si>
    <t>Retard Counts Cylinder 16</t>
  </si>
  <si>
    <t>Retard Counts Cylinder 17</t>
  </si>
  <si>
    <t>Retard Counts Cylinder 18</t>
  </si>
  <si>
    <t>Retard Counts Cylinder 19</t>
  </si>
  <si>
    <t>Retard Counts Cylinder 20</t>
  </si>
  <si>
    <t>Global Timing Degrees * 10</t>
  </si>
  <si>
    <t>Application Dependent</t>
  </si>
  <si>
    <t>IGNSTAT/IGNNOW</t>
  </si>
  <si>
    <t>IGNDIAG3/IGNMODE</t>
  </si>
  <si>
    <t>EXTBITSW/EXTBITSR</t>
  </si>
  <si>
    <t>FEATUREBITS1/2</t>
  </si>
  <si>
    <t>IGNDIAG1/2</t>
  </si>
  <si>
    <t>CPU95Plus:I.Data[n]</t>
  </si>
  <si>
    <t>CPU95Plus:O.Data[n]</t>
  </si>
  <si>
    <t>Attribute</t>
  </si>
  <si>
    <t>ID</t>
  </si>
  <si>
    <t>Tag</t>
  </si>
  <si>
    <t>Data Type</t>
  </si>
  <si>
    <t>Access</t>
  </si>
  <si>
    <t>Minimum</t>
  </si>
  <si>
    <t>Maximum</t>
  </si>
  <si>
    <t>Instance ID Register</t>
  </si>
  <si>
    <t>Parameter Range:</t>
  </si>
  <si>
    <t>Parameter Group(s):</t>
  </si>
  <si>
    <t>Cylinder Label</t>
  </si>
  <si>
    <t>cyllabel</t>
  </si>
  <si>
    <t>STRING,DINT,SINT[82]</t>
  </si>
  <si>
    <t>RW</t>
  </si>
  <si>
    <t>Group:</t>
  </si>
  <si>
    <t>Label Service Supported:</t>
  </si>
  <si>
    <t>Yes</t>
  </si>
  <si>
    <t>Key Command Service Supported:</t>
  </si>
  <si>
    <t>No</t>
  </si>
  <si>
    <t>Number of Instances:</t>
  </si>
  <si>
    <t>Number of Attributes:</t>
  </si>
  <si>
    <t>Object Tag:</t>
  </si>
  <si>
    <t>Object ID:</t>
  </si>
  <si>
    <t>RO</t>
  </si>
  <si>
    <t>indv_ret</t>
  </si>
  <si>
    <t>cavg</t>
  </si>
  <si>
    <t>cov</t>
  </si>
  <si>
    <t>timing</t>
  </si>
  <si>
    <t>hi_voltage</t>
  </si>
  <si>
    <t>BOOL</t>
  </si>
  <si>
    <t>no_sec_spk</t>
  </si>
  <si>
    <t>lo_from_eng</t>
  </si>
  <si>
    <t>hi_from_eng</t>
  </si>
  <si>
    <t>lo_voltage</t>
  </si>
  <si>
    <t>short_pri</t>
  </si>
  <si>
    <t>open_pri</t>
  </si>
  <si>
    <t>Revision:</t>
  </si>
  <si>
    <t>1-20</t>
  </si>
  <si>
    <t>Cylinder Retard</t>
  </si>
  <si>
    <t>Cylinder Average</t>
  </si>
  <si>
    <t>Cylinder COV</t>
  </si>
  <si>
    <t>Cylinder Timing</t>
  </si>
  <si>
    <t>High Voltage Alarm</t>
  </si>
  <si>
    <t>No Secondary Spark Alarm</t>
  </si>
  <si>
    <t>Low From Engine Alarm</t>
  </si>
  <si>
    <t>High From Engine Alarm</t>
  </si>
  <si>
    <t>Low Voltage Alarm</t>
  </si>
  <si>
    <t>Shorted Primary Alarm</t>
  </si>
  <si>
    <t>Open Primary Alarm</t>
  </si>
  <si>
    <t>1-240</t>
  </si>
  <si>
    <t>cylinder</t>
  </si>
  <si>
    <t>man_retard</t>
  </si>
  <si>
    <t>shutdown</t>
  </si>
  <si>
    <t>warning</t>
  </si>
  <si>
    <t>fault</t>
  </si>
  <si>
    <t>fired</t>
  </si>
  <si>
    <t>alarm_out</t>
  </si>
  <si>
    <t>firing</t>
  </si>
  <si>
    <t>pickups</t>
  </si>
  <si>
    <t>rotating</t>
  </si>
  <si>
    <t>onestep_now</t>
  </si>
  <si>
    <t>e1_now</t>
  </si>
  <si>
    <t>e2_now</t>
  </si>
  <si>
    <t>e3_now</t>
  </si>
  <si>
    <t>ms_now</t>
  </si>
  <si>
    <t>fault_nogt</t>
  </si>
  <si>
    <t>fault_mrst</t>
  </si>
  <si>
    <t>fault_crst</t>
  </si>
  <si>
    <t>fault_numgt</t>
  </si>
  <si>
    <t>overspeed</t>
  </si>
  <si>
    <t>fault_fwcs</t>
  </si>
  <si>
    <t>warn_iloop</t>
  </si>
  <si>
    <t>warn_eefail</t>
  </si>
  <si>
    <t>warn_disp</t>
  </si>
  <si>
    <t>warn_hivolt</t>
  </si>
  <si>
    <t>warn_nosec</t>
  </si>
  <si>
    <t>warn_loeng</t>
  </si>
  <si>
    <t>warn_hieng</t>
  </si>
  <si>
    <t>warn_lovolt</t>
  </si>
  <si>
    <t>pri_open</t>
  </si>
  <si>
    <t>pri_short</t>
  </si>
  <si>
    <t>ee_protect</t>
  </si>
  <si>
    <t>ser_ret_en</t>
  </si>
  <si>
    <t>rpm_ret_en</t>
  </si>
  <si>
    <t>iret_en</t>
  </si>
  <si>
    <t>e1</t>
  </si>
  <si>
    <t>e2</t>
  </si>
  <si>
    <t>e3</t>
  </si>
  <si>
    <t>ms</t>
  </si>
  <si>
    <t>fire_confirm</t>
  </si>
  <si>
    <t>no_alarm</t>
  </si>
  <si>
    <t>transcoder</t>
  </si>
  <si>
    <t>skip_ctrl</t>
  </si>
  <si>
    <t>cmd_page_2</t>
  </si>
  <si>
    <t>two_cycle</t>
  </si>
  <si>
    <t>chkpage2</t>
  </si>
  <si>
    <t>misc_input</t>
  </si>
  <si>
    <t>misc_remote</t>
  </si>
  <si>
    <t>out_20</t>
  </si>
  <si>
    <t>out_18</t>
  </si>
  <si>
    <t>with_filter</t>
  </si>
  <si>
    <t>misc_1step</t>
  </si>
  <si>
    <t>misc_max_e</t>
  </si>
  <si>
    <t>misc_ms</t>
  </si>
  <si>
    <t>rpm_1step</t>
  </si>
  <si>
    <t>rpm_max_e</t>
  </si>
  <si>
    <t>rpm_ms</t>
  </si>
  <si>
    <t>rpm</t>
  </si>
  <si>
    <t>max_rpm</t>
  </si>
  <si>
    <t>fault_gtcnt</t>
  </si>
  <si>
    <t>ma_cnt</t>
  </si>
  <si>
    <t>cnt_to_deg</t>
  </si>
  <si>
    <t>global_cnt</t>
  </si>
  <si>
    <t>one_stp_ret</t>
  </si>
  <si>
    <t>analog_ret</t>
  </si>
  <si>
    <t>rpm_retard</t>
  </si>
  <si>
    <t>serial_ret</t>
  </si>
  <si>
    <t>max_offset</t>
  </si>
  <si>
    <t>std_offset</t>
  </si>
  <si>
    <t>ref_angle</t>
  </si>
  <si>
    <t>num_cyl</t>
  </si>
  <si>
    <t>eng_avg</t>
  </si>
  <si>
    <t>identity</t>
  </si>
  <si>
    <t>status</t>
  </si>
  <si>
    <t>version</t>
  </si>
  <si>
    <t>Manual Retard</t>
  </si>
  <si>
    <t>Ignition Shutdown</t>
  </si>
  <si>
    <t>Global Warning</t>
  </si>
  <si>
    <t>Global Fault</t>
  </si>
  <si>
    <t>Ignition Fired</t>
  </si>
  <si>
    <t>Alarm Output Activated</t>
  </si>
  <si>
    <t>Ignition Firing</t>
  </si>
  <si>
    <t>Engine Rotating</t>
  </si>
  <si>
    <t>Onestep Retard Active Now</t>
  </si>
  <si>
    <t>E1 Spark Active Now</t>
  </si>
  <si>
    <t>E2 Spark Active Now</t>
  </si>
  <si>
    <t>E3 Spark Active Now</t>
  </si>
  <si>
    <t>Multistrike Active Now</t>
  </si>
  <si>
    <t>Fault - No Gearteeth Sensed</t>
  </si>
  <si>
    <t>Fault - No Reset</t>
  </si>
  <si>
    <t>Fault - Cam Reset</t>
  </si>
  <si>
    <t>Fault - Invalid Number of Gearteeth Sensed</t>
  </si>
  <si>
    <t>Overspeed Shutdown</t>
  </si>
  <si>
    <t>4-20 Retard Loop out of Range</t>
  </si>
  <si>
    <t>EEPROM User Checksum Failure</t>
  </si>
  <si>
    <t>Display Communication Failure</t>
  </si>
  <si>
    <t>Global High Voltage</t>
  </si>
  <si>
    <t>Global No Secondary Spark</t>
  </si>
  <si>
    <t>Global Low From Engine</t>
  </si>
  <si>
    <t>Global High From Engine</t>
  </si>
  <si>
    <t>Global Low Voltage</t>
  </si>
  <si>
    <t>Global Primary Open</t>
  </si>
  <si>
    <t>Global Primary Shorted</t>
  </si>
  <si>
    <t>EEPROM Protected</t>
  </si>
  <si>
    <t>RPM Retard Enabled</t>
  </si>
  <si>
    <t>Current Loop Retard Enabled</t>
  </si>
  <si>
    <t>Spark E1 Enabled</t>
  </si>
  <si>
    <t>Spark E2 Enabled</t>
  </si>
  <si>
    <t>Spark E3 Enabled</t>
  </si>
  <si>
    <t>Shutdown Input Active</t>
  </si>
  <si>
    <t>shutdown_in</t>
  </si>
  <si>
    <t>Firmware Checksum Failure</t>
  </si>
  <si>
    <t>Alarm Output Closed (Normally Open)</t>
  </si>
  <si>
    <t>8X Transcoder in use</t>
  </si>
  <si>
    <t>Two Cycle Engine</t>
  </si>
  <si>
    <t>Internal - Check Page</t>
  </si>
  <si>
    <t>Internal - Skip Control</t>
  </si>
  <si>
    <t>Internal - Command Page</t>
  </si>
  <si>
    <t>Remote Input Status</t>
  </si>
  <si>
    <t>dual_cap</t>
  </si>
  <si>
    <t>Dual Capacitor Module</t>
  </si>
  <si>
    <t>Module with Filter</t>
  </si>
  <si>
    <t>Misc Input = 1Step Retard</t>
  </si>
  <si>
    <t>Misc Input = Max Energy</t>
  </si>
  <si>
    <t>Misc Input = Multistrike</t>
  </si>
  <si>
    <t>Low RPM = 1Step Retard</t>
  </si>
  <si>
    <t>Low RPM = Max Energy</t>
  </si>
  <si>
    <t>Low RPM = Multistrike</t>
  </si>
  <si>
    <t>RPM</t>
  </si>
  <si>
    <t>Maximum seen RPM</t>
  </si>
  <si>
    <t>overspd_sp</t>
  </si>
  <si>
    <t>Overspeed Setpoint</t>
  </si>
  <si>
    <t>Fault Geartooth Count</t>
  </si>
  <si>
    <t>4-20mA Input A-D Counts</t>
  </si>
  <si>
    <t>Global Timing Display Value Counts</t>
  </si>
  <si>
    <t>man_ret_cnt</t>
  </si>
  <si>
    <t>Retard Counts - Manual Retard</t>
  </si>
  <si>
    <t>Retard Counts - 4-20mA Retard</t>
  </si>
  <si>
    <t>Retard Counts - RPM Retard</t>
  </si>
  <si>
    <t>Retard Counts - 1-Step Retard</t>
  </si>
  <si>
    <t>Retard Counts - Serial Retard</t>
  </si>
  <si>
    <t>Maximum Retard Offset Counts</t>
  </si>
  <si>
    <t>Standard Retard Offset Counts</t>
  </si>
  <si>
    <t>Reference Angle of Reset Pin Counts</t>
  </si>
  <si>
    <t>Number of Cylindres</t>
  </si>
  <si>
    <t>Engine Average Spark Demand Diagnostic</t>
  </si>
  <si>
    <t>Device Identity</t>
  </si>
  <si>
    <t>ARRAY2_75,DINT,SINT[15]</t>
  </si>
  <si>
    <t>FN17 (5-20)</t>
  </si>
  <si>
    <t>Device Status</t>
  </si>
  <si>
    <t>ARRAY2_76, DINT,SINT[1]</t>
  </si>
  <si>
    <t>FN17 (2)</t>
  </si>
  <si>
    <t>Device Version</t>
  </si>
  <si>
    <t>ARRAY2_77,DINT,SINT[2]</t>
  </si>
  <si>
    <t>FN17 (3-4)</t>
  </si>
  <si>
    <t>241-318</t>
  </si>
  <si>
    <t>Ignition Label</t>
  </si>
  <si>
    <t>label</t>
  </si>
  <si>
    <t>ignition</t>
  </si>
  <si>
    <t>ignlabel</t>
  </si>
  <si>
    <t>22-38</t>
  </si>
  <si>
    <t>319-335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</si>
</sst>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Font="1"/>
    <xf numFmtId="0" fontId="0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A2" sqref="A2"/>
    </sheetView>
  </sheetViews>
  <sheetFormatPr defaultRowHeight="15" x14ac:dyDescent="0.25"/>
  <cols>
    <col min="1" max="1" width="6" bestFit="1" customWidth="1"/>
    <col min="2" max="2" width="33.5703125" bestFit="1" customWidth="1"/>
    <col min="3" max="3" width="12.7109375" style="1" bestFit="1" customWidth="1"/>
    <col min="4" max="4" width="10.28515625" bestFit="1" customWidth="1"/>
    <col min="5" max="5" width="4.85546875" bestFit="1" customWidth="1"/>
    <col min="6" max="6" width="22.140625" bestFit="1" customWidth="1"/>
    <col min="7" max="7" width="17.7109375" bestFit="1" customWidth="1"/>
    <col min="8" max="8" width="28.28515625" bestFit="1" customWidth="1"/>
    <col min="9" max="9" width="25" bestFit="1" customWidth="1"/>
    <col min="10" max="10" width="23.85546875" bestFit="1" customWidth="1"/>
    <col min="11" max="11" width="30.140625" bestFit="1" customWidth="1"/>
    <col min="12" max="12" width="10.28515625" customWidth="1"/>
    <col min="13" max="13" width="10.28515625" bestFit="1" customWidth="1"/>
    <col min="14" max="15" width="4.140625" bestFit="1" customWidth="1"/>
  </cols>
  <sheetData>
    <row r="1" spans="1:14" ht="18.75" x14ac:dyDescent="0.3">
      <c r="A1" s="8" t="s">
        <v>189</v>
      </c>
      <c r="B1" s="8"/>
      <c r="C1" s="8"/>
      <c r="F1" s="8" t="s">
        <v>7</v>
      </c>
      <c r="G1" s="8"/>
      <c r="H1" s="8"/>
      <c r="I1" s="8"/>
      <c r="J1" s="8"/>
      <c r="K1" s="8"/>
      <c r="M1" t="s">
        <v>0</v>
      </c>
      <c r="N1">
        <v>93</v>
      </c>
    </row>
    <row r="2" spans="1:14" s="3" customFormat="1" x14ac:dyDescent="0.25">
      <c r="A2" s="3" t="s">
        <v>9</v>
      </c>
      <c r="B2" s="3" t="s">
        <v>4</v>
      </c>
      <c r="C2" s="3" t="s">
        <v>13</v>
      </c>
      <c r="E2" s="3" t="s">
        <v>5</v>
      </c>
      <c r="F2" s="3" t="s">
        <v>102</v>
      </c>
      <c r="G2" s="6" t="s">
        <v>184</v>
      </c>
      <c r="H2" s="6" t="s">
        <v>188</v>
      </c>
      <c r="I2" s="6" t="s">
        <v>185</v>
      </c>
      <c r="J2" s="6" t="s">
        <v>186</v>
      </c>
      <c r="K2" s="6" t="s">
        <v>187</v>
      </c>
      <c r="L2" s="5"/>
      <c r="M2" t="s">
        <v>1</v>
      </c>
      <c r="N2" t="s">
        <v>2</v>
      </c>
    </row>
    <row r="3" spans="1:14" x14ac:dyDescent="0.25">
      <c r="A3">
        <v>0</v>
      </c>
      <c r="B3" t="s">
        <v>14</v>
      </c>
      <c r="C3" s="1">
        <v>30001</v>
      </c>
      <c r="E3">
        <v>0</v>
      </c>
      <c r="F3" t="s">
        <v>6</v>
      </c>
      <c r="G3" t="s">
        <v>111</v>
      </c>
      <c r="H3" t="s">
        <v>124</v>
      </c>
      <c r="I3" t="s">
        <v>6</v>
      </c>
      <c r="J3" t="s">
        <v>141</v>
      </c>
      <c r="K3" t="s">
        <v>151</v>
      </c>
      <c r="M3" s="4" t="s">
        <v>3</v>
      </c>
      <c r="N3" s="4">
        <v>100</v>
      </c>
    </row>
    <row r="4" spans="1:14" x14ac:dyDescent="0.25">
      <c r="A4">
        <v>1</v>
      </c>
      <c r="B4" t="s">
        <v>15</v>
      </c>
      <c r="C4" s="1">
        <v>30002</v>
      </c>
      <c r="E4">
        <v>1</v>
      </c>
      <c r="F4" t="s">
        <v>105</v>
      </c>
      <c r="G4" t="s">
        <v>112</v>
      </c>
      <c r="H4" t="s">
        <v>125</v>
      </c>
      <c r="I4" t="str">
        <f t="shared" ref="I4:I10" si="0">CONCATENATE("Global ", F4)</f>
        <v>Global High Voltage</v>
      </c>
      <c r="J4" t="s">
        <v>142</v>
      </c>
      <c r="K4" t="s">
        <v>152</v>
      </c>
    </row>
    <row r="5" spans="1:14" x14ac:dyDescent="0.25">
      <c r="A5">
        <v>2</v>
      </c>
      <c r="B5" t="s">
        <v>16</v>
      </c>
      <c r="C5" s="1">
        <v>30003</v>
      </c>
      <c r="E5">
        <v>2</v>
      </c>
      <c r="F5" t="s">
        <v>103</v>
      </c>
      <c r="G5" t="s">
        <v>113</v>
      </c>
      <c r="H5" t="s">
        <v>126</v>
      </c>
      <c r="I5" t="str">
        <f t="shared" si="0"/>
        <v>Global No Secondary Spark</v>
      </c>
      <c r="J5" t="s">
        <v>143</v>
      </c>
      <c r="K5" t="s">
        <v>153</v>
      </c>
    </row>
    <row r="6" spans="1:14" x14ac:dyDescent="0.25">
      <c r="A6">
        <v>3</v>
      </c>
      <c r="B6" t="s">
        <v>17</v>
      </c>
      <c r="C6" s="1">
        <v>30004</v>
      </c>
      <c r="E6">
        <v>3</v>
      </c>
      <c r="F6" t="s">
        <v>104</v>
      </c>
      <c r="G6" t="s">
        <v>114</v>
      </c>
      <c r="H6" t="s">
        <v>127</v>
      </c>
      <c r="I6" t="str">
        <f t="shared" si="0"/>
        <v>Global Low From Engine</v>
      </c>
      <c r="J6" t="s">
        <v>6</v>
      </c>
      <c r="K6" t="s">
        <v>154</v>
      </c>
    </row>
    <row r="7" spans="1:14" x14ac:dyDescent="0.25">
      <c r="A7">
        <v>4</v>
      </c>
      <c r="B7" s="5" t="s">
        <v>18</v>
      </c>
      <c r="C7" s="1">
        <v>30005</v>
      </c>
      <c r="E7">
        <v>4</v>
      </c>
      <c r="F7" t="s">
        <v>106</v>
      </c>
      <c r="G7" t="s">
        <v>115</v>
      </c>
      <c r="H7" t="s">
        <v>128</v>
      </c>
      <c r="I7" t="str">
        <f t="shared" si="0"/>
        <v>Global High From Engine</v>
      </c>
      <c r="J7" t="s">
        <v>144</v>
      </c>
      <c r="K7" t="s">
        <v>6</v>
      </c>
    </row>
    <row r="8" spans="1:14" x14ac:dyDescent="0.25">
      <c r="A8">
        <v>5</v>
      </c>
      <c r="B8" s="5" t="s">
        <v>19</v>
      </c>
      <c r="C8" s="1">
        <v>30006</v>
      </c>
      <c r="E8">
        <v>5</v>
      </c>
      <c r="F8" t="s">
        <v>107</v>
      </c>
      <c r="G8" t="s">
        <v>116</v>
      </c>
      <c r="H8" t="s">
        <v>6</v>
      </c>
      <c r="I8" t="str">
        <f t="shared" si="0"/>
        <v>Global Low Voltage</v>
      </c>
      <c r="J8" t="s">
        <v>145</v>
      </c>
      <c r="K8" t="s">
        <v>6</v>
      </c>
    </row>
    <row r="9" spans="1:14" x14ac:dyDescent="0.25">
      <c r="A9">
        <v>6</v>
      </c>
      <c r="B9" s="5" t="s">
        <v>20</v>
      </c>
      <c r="C9" s="1">
        <v>30007</v>
      </c>
      <c r="E9">
        <v>6</v>
      </c>
      <c r="F9" t="s">
        <v>108</v>
      </c>
      <c r="G9" t="s">
        <v>117</v>
      </c>
      <c r="H9" t="s">
        <v>6</v>
      </c>
      <c r="I9" t="str">
        <f t="shared" si="0"/>
        <v>Global Shorted Primary</v>
      </c>
      <c r="J9" t="s">
        <v>146</v>
      </c>
      <c r="K9" t="s">
        <v>6</v>
      </c>
    </row>
    <row r="10" spans="1:14" x14ac:dyDescent="0.25">
      <c r="A10">
        <v>7</v>
      </c>
      <c r="B10" s="5" t="s">
        <v>21</v>
      </c>
      <c r="C10" s="1">
        <v>30008</v>
      </c>
      <c r="E10">
        <v>7</v>
      </c>
      <c r="F10" t="s">
        <v>109</v>
      </c>
      <c r="G10" t="s">
        <v>118</v>
      </c>
      <c r="H10" t="s">
        <v>130</v>
      </c>
      <c r="I10" t="str">
        <f t="shared" si="0"/>
        <v>Global Open Primary</v>
      </c>
      <c r="J10" t="s">
        <v>147</v>
      </c>
      <c r="K10" t="s">
        <v>6</v>
      </c>
    </row>
    <row r="11" spans="1:14" x14ac:dyDescent="0.25">
      <c r="A11">
        <v>8</v>
      </c>
      <c r="B11" s="5" t="s">
        <v>22</v>
      </c>
      <c r="C11" s="1">
        <v>30009</v>
      </c>
      <c r="E11">
        <v>8</v>
      </c>
      <c r="F11" s="7" t="s">
        <v>110</v>
      </c>
      <c r="G11" t="s">
        <v>6</v>
      </c>
      <c r="H11" t="s">
        <v>6</v>
      </c>
      <c r="I11" t="s">
        <v>133</v>
      </c>
      <c r="J11" t="s">
        <v>6</v>
      </c>
      <c r="K11" t="s">
        <v>155</v>
      </c>
    </row>
    <row r="12" spans="1:14" x14ac:dyDescent="0.25">
      <c r="A12">
        <v>9</v>
      </c>
      <c r="B12" s="5" t="s">
        <v>23</v>
      </c>
      <c r="C12" s="1">
        <v>30010</v>
      </c>
      <c r="E12">
        <v>9</v>
      </c>
      <c r="F12" s="7"/>
      <c r="G12" t="s">
        <v>6</v>
      </c>
      <c r="H12" t="s">
        <v>6</v>
      </c>
      <c r="I12" t="s">
        <v>134</v>
      </c>
      <c r="J12" t="s">
        <v>6</v>
      </c>
      <c r="K12" t="s">
        <v>156</v>
      </c>
    </row>
    <row r="13" spans="1:14" x14ac:dyDescent="0.25">
      <c r="A13">
        <v>10</v>
      </c>
      <c r="B13" s="5" t="s">
        <v>24</v>
      </c>
      <c r="C13" s="1">
        <v>30011</v>
      </c>
      <c r="E13">
        <v>10</v>
      </c>
      <c r="F13" s="7"/>
      <c r="G13" t="s">
        <v>6</v>
      </c>
      <c r="H13" t="s">
        <v>6</v>
      </c>
      <c r="I13" t="s">
        <v>135</v>
      </c>
      <c r="J13" t="s">
        <v>6</v>
      </c>
      <c r="K13" t="s">
        <v>157</v>
      </c>
    </row>
    <row r="14" spans="1:14" x14ac:dyDescent="0.25">
      <c r="A14">
        <v>11</v>
      </c>
      <c r="B14" s="5" t="s">
        <v>25</v>
      </c>
      <c r="C14" s="1">
        <v>30012</v>
      </c>
      <c r="E14">
        <v>11</v>
      </c>
      <c r="F14" s="7"/>
      <c r="G14" t="s">
        <v>119</v>
      </c>
      <c r="H14" t="s">
        <v>6</v>
      </c>
      <c r="I14" t="s">
        <v>136</v>
      </c>
      <c r="J14" t="s">
        <v>148</v>
      </c>
      <c r="K14" t="s">
        <v>6</v>
      </c>
    </row>
    <row r="15" spans="1:14" x14ac:dyDescent="0.25">
      <c r="A15">
        <v>12</v>
      </c>
      <c r="B15" s="5" t="s">
        <v>26</v>
      </c>
      <c r="C15" s="1">
        <v>30013</v>
      </c>
      <c r="E15">
        <v>12</v>
      </c>
      <c r="F15" s="7"/>
      <c r="G15" t="s">
        <v>120</v>
      </c>
      <c r="H15" t="s">
        <v>129</v>
      </c>
      <c r="I15" t="s">
        <v>137</v>
      </c>
      <c r="J15" t="s">
        <v>149</v>
      </c>
      <c r="K15" t="s">
        <v>158</v>
      </c>
    </row>
    <row r="16" spans="1:14" x14ac:dyDescent="0.25">
      <c r="A16">
        <v>13</v>
      </c>
      <c r="B16" s="5" t="s">
        <v>27</v>
      </c>
      <c r="C16" s="1">
        <v>30014</v>
      </c>
      <c r="E16">
        <v>13</v>
      </c>
      <c r="F16" s="7"/>
      <c r="G16" t="s">
        <v>121</v>
      </c>
      <c r="H16" t="s">
        <v>6</v>
      </c>
      <c r="I16" t="s">
        <v>138</v>
      </c>
      <c r="J16" t="s">
        <v>150</v>
      </c>
      <c r="K16" t="s">
        <v>159</v>
      </c>
    </row>
    <row r="17" spans="1:11" x14ac:dyDescent="0.25">
      <c r="A17">
        <v>14</v>
      </c>
      <c r="B17" s="5" t="s">
        <v>28</v>
      </c>
      <c r="C17" s="1">
        <v>30015</v>
      </c>
      <c r="E17">
        <v>14</v>
      </c>
      <c r="F17" s="7"/>
      <c r="G17" t="s">
        <v>122</v>
      </c>
      <c r="H17" t="s">
        <v>131</v>
      </c>
      <c r="I17" t="s">
        <v>139</v>
      </c>
      <c r="J17" t="s">
        <v>6</v>
      </c>
      <c r="K17" t="s">
        <v>160</v>
      </c>
    </row>
    <row r="18" spans="1:11" x14ac:dyDescent="0.25">
      <c r="A18">
        <v>15</v>
      </c>
      <c r="B18" s="5" t="s">
        <v>29</v>
      </c>
      <c r="C18" s="1">
        <v>30016</v>
      </c>
      <c r="E18">
        <v>15</v>
      </c>
      <c r="F18" s="7"/>
      <c r="G18" t="s">
        <v>123</v>
      </c>
      <c r="H18" t="s">
        <v>132</v>
      </c>
      <c r="I18" t="s">
        <v>140</v>
      </c>
      <c r="J18" t="s">
        <v>6</v>
      </c>
      <c r="K18" t="s">
        <v>6</v>
      </c>
    </row>
    <row r="19" spans="1:11" x14ac:dyDescent="0.25">
      <c r="A19">
        <v>16</v>
      </c>
      <c r="B19" s="5" t="s">
        <v>30</v>
      </c>
      <c r="C19" s="1">
        <v>30017</v>
      </c>
    </row>
    <row r="20" spans="1:11" x14ac:dyDescent="0.25">
      <c r="A20">
        <v>17</v>
      </c>
      <c r="B20" s="5" t="s">
        <v>31</v>
      </c>
      <c r="C20" s="2" t="s">
        <v>8</v>
      </c>
    </row>
    <row r="21" spans="1:11" x14ac:dyDescent="0.25">
      <c r="A21">
        <v>18</v>
      </c>
      <c r="B21" s="5" t="s">
        <v>33</v>
      </c>
      <c r="C21" s="1">
        <v>30048</v>
      </c>
    </row>
    <row r="22" spans="1:11" x14ac:dyDescent="0.25">
      <c r="A22">
        <v>19</v>
      </c>
      <c r="B22" s="5" t="s">
        <v>34</v>
      </c>
      <c r="C22" s="1">
        <v>30049</v>
      </c>
    </row>
    <row r="23" spans="1:11" x14ac:dyDescent="0.25">
      <c r="A23">
        <v>20</v>
      </c>
      <c r="B23" s="5" t="s">
        <v>35</v>
      </c>
      <c r="C23" s="1">
        <v>30050</v>
      </c>
    </row>
    <row r="24" spans="1:11" x14ac:dyDescent="0.25">
      <c r="A24">
        <v>21</v>
      </c>
      <c r="B24" s="5" t="s">
        <v>36</v>
      </c>
      <c r="C24" s="1">
        <v>30051</v>
      </c>
    </row>
    <row r="25" spans="1:11" x14ac:dyDescent="0.25">
      <c r="A25">
        <v>22</v>
      </c>
      <c r="B25" s="5" t="s">
        <v>37</v>
      </c>
      <c r="C25" s="1">
        <v>30052</v>
      </c>
    </row>
    <row r="26" spans="1:11" x14ac:dyDescent="0.25">
      <c r="A26">
        <v>23</v>
      </c>
      <c r="B26" s="5" t="s">
        <v>38</v>
      </c>
      <c r="C26" s="1">
        <v>30053</v>
      </c>
    </row>
    <row r="27" spans="1:11" x14ac:dyDescent="0.25">
      <c r="A27">
        <v>24</v>
      </c>
      <c r="B27" s="5" t="s">
        <v>39</v>
      </c>
      <c r="C27" s="1">
        <v>30054</v>
      </c>
    </row>
    <row r="28" spans="1:11" x14ac:dyDescent="0.25">
      <c r="A28">
        <v>25</v>
      </c>
      <c r="B28" s="5" t="s">
        <v>40</v>
      </c>
      <c r="C28" s="1">
        <v>30055</v>
      </c>
    </row>
    <row r="29" spans="1:11" x14ac:dyDescent="0.25">
      <c r="A29">
        <v>26</v>
      </c>
      <c r="B29" s="5" t="s">
        <v>41</v>
      </c>
      <c r="C29" s="1">
        <v>30056</v>
      </c>
    </row>
    <row r="30" spans="1:11" x14ac:dyDescent="0.25">
      <c r="A30">
        <v>27</v>
      </c>
      <c r="B30" s="5" t="s">
        <v>42</v>
      </c>
      <c r="C30" s="1">
        <v>30057</v>
      </c>
    </row>
    <row r="31" spans="1:11" x14ac:dyDescent="0.25">
      <c r="A31">
        <v>28</v>
      </c>
      <c r="B31" s="5" t="s">
        <v>43</v>
      </c>
      <c r="C31" s="1">
        <v>30058</v>
      </c>
    </row>
    <row r="32" spans="1:11" x14ac:dyDescent="0.25">
      <c r="A32">
        <v>29</v>
      </c>
      <c r="B32" s="5" t="s">
        <v>44</v>
      </c>
      <c r="C32" s="1">
        <v>30059</v>
      </c>
    </row>
    <row r="33" spans="1:3" x14ac:dyDescent="0.25">
      <c r="A33">
        <v>30</v>
      </c>
      <c r="B33" s="5" t="s">
        <v>45</v>
      </c>
      <c r="C33" s="1">
        <v>30060</v>
      </c>
    </row>
    <row r="34" spans="1:3" x14ac:dyDescent="0.25">
      <c r="A34">
        <v>31</v>
      </c>
      <c r="B34" s="5" t="s">
        <v>46</v>
      </c>
      <c r="C34" s="1">
        <v>30061</v>
      </c>
    </row>
    <row r="35" spans="1:3" x14ac:dyDescent="0.25">
      <c r="A35">
        <v>32</v>
      </c>
      <c r="B35" s="5" t="s">
        <v>47</v>
      </c>
      <c r="C35" s="1">
        <v>30062</v>
      </c>
    </row>
    <row r="36" spans="1:3" x14ac:dyDescent="0.25">
      <c r="A36">
        <v>33</v>
      </c>
      <c r="B36" s="5" t="s">
        <v>48</v>
      </c>
      <c r="C36" s="1">
        <v>30063</v>
      </c>
    </row>
    <row r="37" spans="1:3" x14ac:dyDescent="0.25">
      <c r="A37">
        <v>34</v>
      </c>
      <c r="B37" s="5" t="s">
        <v>49</v>
      </c>
      <c r="C37" s="1">
        <v>30064</v>
      </c>
    </row>
    <row r="38" spans="1:3" x14ac:dyDescent="0.25">
      <c r="A38">
        <v>35</v>
      </c>
      <c r="B38" s="5" t="s">
        <v>50</v>
      </c>
      <c r="C38" s="1">
        <v>30065</v>
      </c>
    </row>
    <row r="39" spans="1:3" x14ac:dyDescent="0.25">
      <c r="A39">
        <v>36</v>
      </c>
      <c r="B39" s="5" t="s">
        <v>51</v>
      </c>
      <c r="C39" s="1">
        <v>30066</v>
      </c>
    </row>
    <row r="40" spans="1:3" x14ac:dyDescent="0.25">
      <c r="A40">
        <v>37</v>
      </c>
      <c r="B40" s="5" t="s">
        <v>52</v>
      </c>
      <c r="C40" s="1">
        <v>30067</v>
      </c>
    </row>
    <row r="41" spans="1:3" x14ac:dyDescent="0.25">
      <c r="A41">
        <v>38</v>
      </c>
      <c r="B41" s="5" t="s">
        <v>32</v>
      </c>
      <c r="C41" s="2">
        <v>30088</v>
      </c>
    </row>
    <row r="42" spans="1:3" x14ac:dyDescent="0.25">
      <c r="A42">
        <v>39</v>
      </c>
      <c r="B42" s="5" t="s">
        <v>53</v>
      </c>
      <c r="C42" s="2">
        <v>30089</v>
      </c>
    </row>
    <row r="43" spans="1:3" x14ac:dyDescent="0.25">
      <c r="A43">
        <v>40</v>
      </c>
      <c r="B43" s="5" t="s">
        <v>54</v>
      </c>
      <c r="C43" s="2">
        <v>30090</v>
      </c>
    </row>
    <row r="44" spans="1:3" x14ac:dyDescent="0.25">
      <c r="A44">
        <v>41</v>
      </c>
      <c r="B44" s="5" t="s">
        <v>55</v>
      </c>
      <c r="C44" s="2">
        <v>30091</v>
      </c>
    </row>
    <row r="45" spans="1:3" x14ac:dyDescent="0.25">
      <c r="A45">
        <v>42</v>
      </c>
      <c r="B45" s="5" t="s">
        <v>56</v>
      </c>
      <c r="C45" s="2">
        <v>30092</v>
      </c>
    </row>
    <row r="46" spans="1:3" x14ac:dyDescent="0.25">
      <c r="A46">
        <v>43</v>
      </c>
      <c r="B46" s="5" t="s">
        <v>57</v>
      </c>
      <c r="C46" s="2">
        <v>30093</v>
      </c>
    </row>
    <row r="47" spans="1:3" x14ac:dyDescent="0.25">
      <c r="A47">
        <v>44</v>
      </c>
      <c r="B47" s="5" t="s">
        <v>58</v>
      </c>
      <c r="C47" s="2">
        <v>30094</v>
      </c>
    </row>
    <row r="48" spans="1:3" x14ac:dyDescent="0.25">
      <c r="A48">
        <v>45</v>
      </c>
      <c r="B48" s="5" t="s">
        <v>59</v>
      </c>
      <c r="C48" s="2">
        <v>30095</v>
      </c>
    </row>
    <row r="49" spans="1:3" x14ac:dyDescent="0.25">
      <c r="A49">
        <v>46</v>
      </c>
      <c r="B49" s="5" t="s">
        <v>60</v>
      </c>
      <c r="C49" s="2">
        <v>30096</v>
      </c>
    </row>
    <row r="50" spans="1:3" x14ac:dyDescent="0.25">
      <c r="A50">
        <v>47</v>
      </c>
      <c r="B50" s="5" t="s">
        <v>61</v>
      </c>
      <c r="C50" s="2">
        <v>30097</v>
      </c>
    </row>
    <row r="51" spans="1:3" x14ac:dyDescent="0.25">
      <c r="A51">
        <v>48</v>
      </c>
      <c r="B51" s="5" t="s">
        <v>62</v>
      </c>
      <c r="C51" s="2">
        <v>30098</v>
      </c>
    </row>
    <row r="52" spans="1:3" x14ac:dyDescent="0.25">
      <c r="A52">
        <v>49</v>
      </c>
      <c r="B52" s="5" t="s">
        <v>63</v>
      </c>
      <c r="C52" s="2">
        <v>30099</v>
      </c>
    </row>
    <row r="53" spans="1:3" x14ac:dyDescent="0.25">
      <c r="A53">
        <v>50</v>
      </c>
      <c r="B53" s="5" t="s">
        <v>64</v>
      </c>
      <c r="C53" s="2">
        <v>30100</v>
      </c>
    </row>
    <row r="54" spans="1:3" x14ac:dyDescent="0.25">
      <c r="A54">
        <v>51</v>
      </c>
      <c r="B54" s="5" t="s">
        <v>65</v>
      </c>
      <c r="C54" s="2">
        <v>30101</v>
      </c>
    </row>
    <row r="55" spans="1:3" x14ac:dyDescent="0.25">
      <c r="A55">
        <v>52</v>
      </c>
      <c r="B55" s="5" t="s">
        <v>66</v>
      </c>
      <c r="C55" s="2">
        <v>30102</v>
      </c>
    </row>
    <row r="56" spans="1:3" x14ac:dyDescent="0.25">
      <c r="A56">
        <v>53</v>
      </c>
      <c r="B56" s="5" t="s">
        <v>67</v>
      </c>
      <c r="C56" s="2">
        <v>30103</v>
      </c>
    </row>
    <row r="57" spans="1:3" x14ac:dyDescent="0.25">
      <c r="A57">
        <v>54</v>
      </c>
      <c r="B57" s="5" t="s">
        <v>68</v>
      </c>
      <c r="C57" s="2">
        <v>30104</v>
      </c>
    </row>
    <row r="58" spans="1:3" x14ac:dyDescent="0.25">
      <c r="A58">
        <v>55</v>
      </c>
      <c r="B58" s="5" t="s">
        <v>69</v>
      </c>
      <c r="C58" s="2">
        <v>30105</v>
      </c>
    </row>
    <row r="59" spans="1:3" x14ac:dyDescent="0.25">
      <c r="A59">
        <v>56</v>
      </c>
      <c r="B59" s="5" t="s">
        <v>70</v>
      </c>
      <c r="C59" s="2">
        <v>30106</v>
      </c>
    </row>
    <row r="60" spans="1:3" x14ac:dyDescent="0.25">
      <c r="A60">
        <v>57</v>
      </c>
      <c r="B60" s="5" t="s">
        <v>71</v>
      </c>
      <c r="C60" s="2">
        <v>30107</v>
      </c>
    </row>
    <row r="61" spans="1:3" x14ac:dyDescent="0.25">
      <c r="A61">
        <v>58</v>
      </c>
      <c r="B61" s="5" t="s">
        <v>72</v>
      </c>
      <c r="C61" s="2">
        <v>30138</v>
      </c>
    </row>
    <row r="62" spans="1:3" x14ac:dyDescent="0.25">
      <c r="A62">
        <v>59</v>
      </c>
      <c r="B62" s="5" t="s">
        <v>73</v>
      </c>
      <c r="C62" s="2">
        <v>30139</v>
      </c>
    </row>
    <row r="63" spans="1:3" x14ac:dyDescent="0.25">
      <c r="A63">
        <v>60</v>
      </c>
      <c r="B63" s="5" t="s">
        <v>74</v>
      </c>
      <c r="C63" s="2">
        <v>30140</v>
      </c>
    </row>
    <row r="64" spans="1:3" x14ac:dyDescent="0.25">
      <c r="A64">
        <v>61</v>
      </c>
      <c r="B64" s="5" t="s">
        <v>75</v>
      </c>
      <c r="C64" s="2">
        <v>30141</v>
      </c>
    </row>
    <row r="65" spans="1:3" x14ac:dyDescent="0.25">
      <c r="A65">
        <v>62</v>
      </c>
      <c r="B65" s="5" t="s">
        <v>76</v>
      </c>
      <c r="C65" s="2">
        <v>30142</v>
      </c>
    </row>
    <row r="66" spans="1:3" x14ac:dyDescent="0.25">
      <c r="A66">
        <v>63</v>
      </c>
      <c r="B66" s="5" t="s">
        <v>77</v>
      </c>
      <c r="C66" s="2">
        <v>30143</v>
      </c>
    </row>
    <row r="67" spans="1:3" x14ac:dyDescent="0.25">
      <c r="A67">
        <v>64</v>
      </c>
      <c r="B67" s="5" t="s">
        <v>78</v>
      </c>
      <c r="C67" s="2">
        <v>30144</v>
      </c>
    </row>
    <row r="68" spans="1:3" x14ac:dyDescent="0.25">
      <c r="A68">
        <v>65</v>
      </c>
      <c r="B68" s="5" t="s">
        <v>79</v>
      </c>
      <c r="C68" s="2">
        <v>30145</v>
      </c>
    </row>
    <row r="69" spans="1:3" x14ac:dyDescent="0.25">
      <c r="A69">
        <v>66</v>
      </c>
      <c r="B69" s="5" t="s">
        <v>80</v>
      </c>
      <c r="C69" s="2">
        <v>30146</v>
      </c>
    </row>
    <row r="70" spans="1:3" x14ac:dyDescent="0.25">
      <c r="A70">
        <v>67</v>
      </c>
      <c r="B70" s="5" t="s">
        <v>81</v>
      </c>
      <c r="C70" s="2">
        <v>30147</v>
      </c>
    </row>
    <row r="71" spans="1:3" x14ac:dyDescent="0.25">
      <c r="A71">
        <v>68</v>
      </c>
      <c r="B71" s="5" t="s">
        <v>82</v>
      </c>
      <c r="C71" s="2">
        <v>30148</v>
      </c>
    </row>
    <row r="72" spans="1:3" x14ac:dyDescent="0.25">
      <c r="A72">
        <v>69</v>
      </c>
      <c r="B72" s="5" t="s">
        <v>83</v>
      </c>
      <c r="C72" s="2">
        <v>30149</v>
      </c>
    </row>
    <row r="73" spans="1:3" x14ac:dyDescent="0.25">
      <c r="A73">
        <v>70</v>
      </c>
      <c r="B73" s="5" t="s">
        <v>84</v>
      </c>
      <c r="C73" s="2">
        <v>30150</v>
      </c>
    </row>
    <row r="74" spans="1:3" x14ac:dyDescent="0.25">
      <c r="A74">
        <v>71</v>
      </c>
      <c r="B74" s="5" t="s">
        <v>85</v>
      </c>
      <c r="C74" s="2">
        <v>30151</v>
      </c>
    </row>
    <row r="75" spans="1:3" x14ac:dyDescent="0.25">
      <c r="A75">
        <v>72</v>
      </c>
      <c r="B75" s="5" t="s">
        <v>86</v>
      </c>
      <c r="C75" s="2">
        <v>30152</v>
      </c>
    </row>
    <row r="76" spans="1:3" x14ac:dyDescent="0.25">
      <c r="A76">
        <v>73</v>
      </c>
      <c r="B76" s="5" t="s">
        <v>87</v>
      </c>
      <c r="C76" s="2">
        <v>30153</v>
      </c>
    </row>
    <row r="77" spans="1:3" x14ac:dyDescent="0.25">
      <c r="A77">
        <v>74</v>
      </c>
      <c r="B77" s="5" t="s">
        <v>88</v>
      </c>
      <c r="C77" s="2">
        <v>30154</v>
      </c>
    </row>
    <row r="78" spans="1:3" x14ac:dyDescent="0.25">
      <c r="A78">
        <v>75</v>
      </c>
      <c r="B78" s="5" t="s">
        <v>89</v>
      </c>
      <c r="C78" s="2">
        <v>30155</v>
      </c>
    </row>
    <row r="79" spans="1:3" x14ac:dyDescent="0.25">
      <c r="A79">
        <v>76</v>
      </c>
      <c r="B79" s="5" t="s">
        <v>90</v>
      </c>
      <c r="C79" s="2">
        <v>30156</v>
      </c>
    </row>
    <row r="80" spans="1:3" x14ac:dyDescent="0.25">
      <c r="A80">
        <v>77</v>
      </c>
      <c r="B80" s="5" t="s">
        <v>91</v>
      </c>
      <c r="C80" s="2">
        <v>30157</v>
      </c>
    </row>
    <row r="81" spans="1:3" x14ac:dyDescent="0.25">
      <c r="A81">
        <v>78</v>
      </c>
      <c r="B81" s="5" t="s">
        <v>92</v>
      </c>
      <c r="C81" s="1">
        <v>10089</v>
      </c>
    </row>
    <row r="82" spans="1:3" x14ac:dyDescent="0.25">
      <c r="A82">
        <v>79</v>
      </c>
      <c r="B82" s="5" t="s">
        <v>93</v>
      </c>
      <c r="C82" s="1">
        <f>C81+8</f>
        <v>10097</v>
      </c>
    </row>
    <row r="83" spans="1:3" x14ac:dyDescent="0.25">
      <c r="A83">
        <v>80</v>
      </c>
      <c r="B83" s="5" t="s">
        <v>94</v>
      </c>
      <c r="C83" s="1">
        <f t="shared" ref="C83:C90" si="1">C82+8</f>
        <v>10105</v>
      </c>
    </row>
    <row r="84" spans="1:3" x14ac:dyDescent="0.25">
      <c r="A84">
        <v>81</v>
      </c>
      <c r="B84" s="5" t="s">
        <v>95</v>
      </c>
      <c r="C84" s="1">
        <f t="shared" si="1"/>
        <v>10113</v>
      </c>
    </row>
    <row r="85" spans="1:3" x14ac:dyDescent="0.25">
      <c r="A85">
        <v>82</v>
      </c>
      <c r="B85" s="5" t="s">
        <v>96</v>
      </c>
      <c r="C85" s="1">
        <f t="shared" si="1"/>
        <v>10121</v>
      </c>
    </row>
    <row r="86" spans="1:3" x14ac:dyDescent="0.25">
      <c r="A86">
        <v>83</v>
      </c>
      <c r="B86" s="5" t="s">
        <v>97</v>
      </c>
      <c r="C86" s="1">
        <f t="shared" si="1"/>
        <v>10129</v>
      </c>
    </row>
    <row r="87" spans="1:3" x14ac:dyDescent="0.25">
      <c r="A87">
        <v>84</v>
      </c>
      <c r="B87" s="5" t="s">
        <v>98</v>
      </c>
      <c r="C87" s="1">
        <f t="shared" si="1"/>
        <v>10137</v>
      </c>
    </row>
    <row r="88" spans="1:3" x14ac:dyDescent="0.25">
      <c r="A88">
        <v>85</v>
      </c>
      <c r="B88" s="5" t="s">
        <v>99</v>
      </c>
      <c r="C88" s="1">
        <f t="shared" si="1"/>
        <v>10145</v>
      </c>
    </row>
    <row r="89" spans="1:3" x14ac:dyDescent="0.25">
      <c r="A89">
        <v>86</v>
      </c>
      <c r="B89" s="5" t="s">
        <v>100</v>
      </c>
      <c r="C89" s="1">
        <f t="shared" si="1"/>
        <v>10153</v>
      </c>
    </row>
    <row r="90" spans="1:3" x14ac:dyDescent="0.25">
      <c r="A90">
        <v>87</v>
      </c>
      <c r="B90" s="5" t="s">
        <v>101</v>
      </c>
      <c r="C90" s="1">
        <f t="shared" si="1"/>
        <v>10161</v>
      </c>
    </row>
    <row r="91" spans="1:3" x14ac:dyDescent="0.25">
      <c r="A91">
        <v>88</v>
      </c>
      <c r="B91" s="5" t="s">
        <v>184</v>
      </c>
      <c r="C91" s="1">
        <v>10001</v>
      </c>
    </row>
    <row r="92" spans="1:3" x14ac:dyDescent="0.25">
      <c r="A92">
        <v>89</v>
      </c>
      <c r="B92" s="5" t="s">
        <v>188</v>
      </c>
      <c r="C92" s="1">
        <f>C91+16</f>
        <v>10017</v>
      </c>
    </row>
    <row r="93" spans="1:3" x14ac:dyDescent="0.25">
      <c r="A93">
        <v>90</v>
      </c>
      <c r="B93" s="5" t="s">
        <v>185</v>
      </c>
      <c r="C93" s="1">
        <f t="shared" ref="C93:C95" si="2">C92+16</f>
        <v>10033</v>
      </c>
    </row>
    <row r="94" spans="1:3" x14ac:dyDescent="0.25">
      <c r="A94">
        <v>91</v>
      </c>
      <c r="B94" s="5" t="s">
        <v>186</v>
      </c>
      <c r="C94" s="1">
        <f t="shared" si="2"/>
        <v>10049</v>
      </c>
    </row>
    <row r="95" spans="1:3" x14ac:dyDescent="0.25">
      <c r="A95">
        <v>92</v>
      </c>
      <c r="B95" s="5" t="s">
        <v>187</v>
      </c>
      <c r="C95" s="1">
        <f t="shared" si="2"/>
        <v>10065</v>
      </c>
    </row>
  </sheetData>
  <mergeCells count="3">
    <mergeCell ref="F11:F18"/>
    <mergeCell ref="F1:K1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C3" sqref="C3"/>
    </sheetView>
  </sheetViews>
  <sheetFormatPr defaultRowHeight="15" x14ac:dyDescent="0.25"/>
  <cols>
    <col min="1" max="1" width="6" bestFit="1" customWidth="1"/>
    <col min="2" max="2" width="24.140625" bestFit="1" customWidth="1"/>
    <col min="3" max="3" width="12.7109375" style="1" bestFit="1" customWidth="1"/>
    <col min="4" max="4" width="12.7109375" style="1" customWidth="1"/>
    <col min="5" max="5" width="11.42578125" style="1" bestFit="1" customWidth="1"/>
    <col min="6" max="7" width="10.28515625" bestFit="1" customWidth="1"/>
    <col min="8" max="9" width="4.140625" bestFit="1" customWidth="1"/>
  </cols>
  <sheetData>
    <row r="1" spans="1:8" ht="18.75" x14ac:dyDescent="0.3">
      <c r="A1" s="8" t="s">
        <v>190</v>
      </c>
      <c r="B1" s="8"/>
      <c r="C1" s="8"/>
      <c r="D1" s="8"/>
      <c r="E1" s="8"/>
      <c r="G1" t="s">
        <v>0</v>
      </c>
      <c r="H1">
        <v>22</v>
      </c>
    </row>
    <row r="2" spans="1:8" s="3" customFormat="1" x14ac:dyDescent="0.25">
      <c r="A2" s="3" t="s">
        <v>9</v>
      </c>
      <c r="B2" s="3" t="s">
        <v>4</v>
      </c>
      <c r="C2" s="3" t="s">
        <v>13</v>
      </c>
      <c r="D2" s="3" t="s">
        <v>10</v>
      </c>
      <c r="E2" s="3" t="s">
        <v>11</v>
      </c>
      <c r="G2" t="s">
        <v>1</v>
      </c>
      <c r="H2" t="s">
        <v>2</v>
      </c>
    </row>
    <row r="3" spans="1:8" x14ac:dyDescent="0.25">
      <c r="A3">
        <v>0</v>
      </c>
      <c r="B3" t="s">
        <v>161</v>
      </c>
      <c r="C3" s="1">
        <v>40002</v>
      </c>
      <c r="D3" s="1">
        <v>0</v>
      </c>
      <c r="E3" s="1" t="s">
        <v>162</v>
      </c>
      <c r="G3" s="4" t="s">
        <v>3</v>
      </c>
      <c r="H3" s="4">
        <v>101</v>
      </c>
    </row>
    <row r="4" spans="1:8" x14ac:dyDescent="0.25">
      <c r="A4">
        <v>1</v>
      </c>
      <c r="B4" t="s">
        <v>163</v>
      </c>
      <c r="C4" s="1">
        <v>40003</v>
      </c>
      <c r="D4" s="1">
        <v>0</v>
      </c>
      <c r="E4" s="1" t="s">
        <v>162</v>
      </c>
    </row>
    <row r="5" spans="1:8" x14ac:dyDescent="0.25">
      <c r="A5">
        <v>2</v>
      </c>
      <c r="B5" t="s">
        <v>164</v>
      </c>
      <c r="C5" s="1">
        <v>40004</v>
      </c>
      <c r="D5" s="1">
        <v>0</v>
      </c>
      <c r="E5" s="1" t="s">
        <v>162</v>
      </c>
    </row>
    <row r="6" spans="1:8" x14ac:dyDescent="0.25">
      <c r="A6">
        <v>3</v>
      </c>
      <c r="B6" t="s">
        <v>165</v>
      </c>
      <c r="C6" s="1">
        <v>40005</v>
      </c>
      <c r="D6" s="1">
        <v>0</v>
      </c>
      <c r="E6" s="1" t="s">
        <v>162</v>
      </c>
    </row>
    <row r="7" spans="1:8" x14ac:dyDescent="0.25">
      <c r="A7">
        <v>4</v>
      </c>
      <c r="B7" t="s">
        <v>166</v>
      </c>
      <c r="C7" s="1">
        <v>40006</v>
      </c>
      <c r="D7" s="1">
        <v>0</v>
      </c>
      <c r="E7" s="1" t="s">
        <v>162</v>
      </c>
    </row>
    <row r="8" spans="1:8" x14ac:dyDescent="0.25">
      <c r="A8">
        <v>5</v>
      </c>
      <c r="B8" t="s">
        <v>167</v>
      </c>
      <c r="C8" s="1">
        <v>40007</v>
      </c>
      <c r="D8" s="1">
        <v>0</v>
      </c>
      <c r="E8" s="1" t="s">
        <v>162</v>
      </c>
    </row>
    <row r="9" spans="1:8" x14ac:dyDescent="0.25">
      <c r="A9">
        <v>6</v>
      </c>
      <c r="B9" t="s">
        <v>168</v>
      </c>
      <c r="C9" s="1">
        <v>40008</v>
      </c>
      <c r="D9" s="1">
        <v>0</v>
      </c>
      <c r="E9" s="1" t="s">
        <v>162</v>
      </c>
    </row>
    <row r="10" spans="1:8" x14ac:dyDescent="0.25">
      <c r="A10">
        <v>7</v>
      </c>
      <c r="B10" t="s">
        <v>169</v>
      </c>
      <c r="C10" s="1">
        <v>40009</v>
      </c>
      <c r="D10" s="1">
        <v>0</v>
      </c>
      <c r="E10" s="1" t="s">
        <v>162</v>
      </c>
    </row>
    <row r="11" spans="1:8" x14ac:dyDescent="0.25">
      <c r="A11">
        <v>8</v>
      </c>
      <c r="B11" t="s">
        <v>170</v>
      </c>
      <c r="C11" s="1">
        <v>40010</v>
      </c>
      <c r="D11" s="1">
        <v>0</v>
      </c>
      <c r="E11" s="1" t="s">
        <v>162</v>
      </c>
    </row>
    <row r="12" spans="1:8" x14ac:dyDescent="0.25">
      <c r="A12">
        <v>9</v>
      </c>
      <c r="B12" t="s">
        <v>171</v>
      </c>
      <c r="C12" s="1">
        <v>40011</v>
      </c>
      <c r="D12" s="1">
        <v>0</v>
      </c>
      <c r="E12" s="1" t="s">
        <v>162</v>
      </c>
    </row>
    <row r="13" spans="1:8" x14ac:dyDescent="0.25">
      <c r="A13">
        <v>10</v>
      </c>
      <c r="B13" t="s">
        <v>172</v>
      </c>
      <c r="C13" s="1">
        <v>40012</v>
      </c>
      <c r="D13" s="1">
        <v>0</v>
      </c>
      <c r="E13" s="1" t="s">
        <v>162</v>
      </c>
    </row>
    <row r="14" spans="1:8" x14ac:dyDescent="0.25">
      <c r="A14">
        <v>11</v>
      </c>
      <c r="B14" t="s">
        <v>173</v>
      </c>
      <c r="C14" s="1">
        <v>40013</v>
      </c>
      <c r="D14" s="1">
        <v>0</v>
      </c>
      <c r="E14" s="1" t="s">
        <v>162</v>
      </c>
    </row>
    <row r="15" spans="1:8" x14ac:dyDescent="0.25">
      <c r="A15">
        <v>12</v>
      </c>
      <c r="B15" t="s">
        <v>174</v>
      </c>
      <c r="C15" s="1">
        <v>40014</v>
      </c>
      <c r="D15" s="1">
        <v>0</v>
      </c>
      <c r="E15" s="1" t="s">
        <v>162</v>
      </c>
    </row>
    <row r="16" spans="1:8" x14ac:dyDescent="0.25">
      <c r="A16">
        <v>13</v>
      </c>
      <c r="B16" t="s">
        <v>175</v>
      </c>
      <c r="C16" s="1">
        <v>40015</v>
      </c>
      <c r="D16" s="1">
        <v>0</v>
      </c>
      <c r="E16" s="1" t="s">
        <v>162</v>
      </c>
    </row>
    <row r="17" spans="1:5" x14ac:dyDescent="0.25">
      <c r="A17">
        <v>14</v>
      </c>
      <c r="B17" t="s">
        <v>176</v>
      </c>
      <c r="C17" s="1">
        <v>40016</v>
      </c>
      <c r="D17" s="1">
        <v>0</v>
      </c>
      <c r="E17" s="1" t="s">
        <v>162</v>
      </c>
    </row>
    <row r="18" spans="1:5" x14ac:dyDescent="0.25">
      <c r="A18">
        <v>15</v>
      </c>
      <c r="B18" t="s">
        <v>177</v>
      </c>
      <c r="C18" s="1">
        <v>40017</v>
      </c>
      <c r="D18" s="1">
        <v>0</v>
      </c>
      <c r="E18" s="1" t="s">
        <v>162</v>
      </c>
    </row>
    <row r="19" spans="1:5" x14ac:dyDescent="0.25">
      <c r="A19">
        <v>16</v>
      </c>
      <c r="B19" t="s">
        <v>178</v>
      </c>
      <c r="C19" s="1">
        <v>40018</v>
      </c>
      <c r="D19" s="1">
        <v>0</v>
      </c>
      <c r="E19" s="1" t="s">
        <v>162</v>
      </c>
    </row>
    <row r="20" spans="1:5" x14ac:dyDescent="0.25">
      <c r="A20">
        <v>17</v>
      </c>
      <c r="B20" t="s">
        <v>179</v>
      </c>
      <c r="C20" s="1">
        <v>40019</v>
      </c>
      <c r="D20" s="1">
        <v>0</v>
      </c>
      <c r="E20" s="1" t="s">
        <v>162</v>
      </c>
    </row>
    <row r="21" spans="1:5" x14ac:dyDescent="0.25">
      <c r="A21">
        <v>18</v>
      </c>
      <c r="B21" t="s">
        <v>180</v>
      </c>
      <c r="C21" s="1">
        <v>40020</v>
      </c>
      <c r="D21" s="1">
        <v>0</v>
      </c>
      <c r="E21" s="1" t="s">
        <v>162</v>
      </c>
    </row>
    <row r="22" spans="1:5" x14ac:dyDescent="0.25">
      <c r="A22">
        <v>19</v>
      </c>
      <c r="B22" t="s">
        <v>181</v>
      </c>
      <c r="C22" s="1">
        <v>40021</v>
      </c>
      <c r="D22" s="1">
        <v>0</v>
      </c>
      <c r="E22" s="1" t="s">
        <v>162</v>
      </c>
    </row>
    <row r="23" spans="1:5" x14ac:dyDescent="0.25">
      <c r="A23">
        <v>20</v>
      </c>
      <c r="B23" t="s">
        <v>182</v>
      </c>
      <c r="C23" s="1">
        <v>40001</v>
      </c>
      <c r="D23" s="9" t="s">
        <v>183</v>
      </c>
      <c r="E23" s="9"/>
    </row>
    <row r="24" spans="1:5" x14ac:dyDescent="0.25">
      <c r="A24">
        <v>21</v>
      </c>
      <c r="B24" s="5" t="s">
        <v>12</v>
      </c>
      <c r="C24" s="2" t="s">
        <v>8</v>
      </c>
      <c r="D24" s="1">
        <v>-32767</v>
      </c>
      <c r="E24" s="1">
        <v>32767</v>
      </c>
    </row>
    <row r="25" spans="1:5" x14ac:dyDescent="0.25">
      <c r="B25" s="5"/>
      <c r="C25" s="2"/>
      <c r="D25" s="2"/>
      <c r="E25" s="2"/>
    </row>
    <row r="26" spans="1:5" x14ac:dyDescent="0.25">
      <c r="B26" s="5"/>
      <c r="C26" s="2"/>
      <c r="D26" s="2"/>
      <c r="E26" s="2"/>
    </row>
    <row r="27" spans="1:5" x14ac:dyDescent="0.25">
      <c r="C27" s="2"/>
      <c r="D27" s="2"/>
      <c r="E27" s="2"/>
    </row>
    <row r="28" spans="1:5" x14ac:dyDescent="0.25">
      <c r="C28" s="2"/>
      <c r="D28" s="2"/>
      <c r="E28" s="2"/>
    </row>
    <row r="29" spans="1:5" x14ac:dyDescent="0.25">
      <c r="C29" s="2"/>
      <c r="D29" s="2"/>
      <c r="E29" s="2"/>
    </row>
  </sheetData>
  <mergeCells count="2">
    <mergeCell ref="A1:E1"/>
    <mergeCell ref="D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topLeftCell="L1" workbookViewId="0">
      <selection activeCell="AD10" sqref="AD10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23" width="6" style="1" bestFit="1" customWidth="1"/>
    <col min="24" max="27" width="6" bestFit="1" customWidth="1"/>
    <col min="29" max="29" width="31.5703125" bestFit="1" customWidth="1"/>
    <col min="30" max="30" width="10.28515625" style="4" bestFit="1" customWidth="1"/>
  </cols>
  <sheetData>
    <row r="1" spans="1:30" s="12" customFormat="1" x14ac:dyDescent="0.25">
      <c r="A1" s="10" t="s">
        <v>191</v>
      </c>
      <c r="B1" s="10" t="s">
        <v>192</v>
      </c>
      <c r="C1" s="10" t="s">
        <v>193</v>
      </c>
      <c r="D1" s="10" t="s">
        <v>194</v>
      </c>
      <c r="E1" s="10" t="s">
        <v>195</v>
      </c>
      <c r="F1" s="10" t="s">
        <v>196</v>
      </c>
      <c r="G1" s="10" t="s">
        <v>197</v>
      </c>
      <c r="H1" s="11" t="s">
        <v>198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13" t="s">
        <v>199</v>
      </c>
      <c r="AD1" s="14" t="s">
        <v>240</v>
      </c>
    </row>
    <row r="2" spans="1:30" s="12" customFormat="1" x14ac:dyDescent="0.25">
      <c r="A2" s="10"/>
      <c r="B2" s="10"/>
      <c r="C2" s="10"/>
      <c r="D2" s="10"/>
      <c r="E2" s="10"/>
      <c r="F2" s="10"/>
      <c r="G2" s="10"/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3">
        <v>7</v>
      </c>
      <c r="O2" s="3">
        <v>8</v>
      </c>
      <c r="P2" s="3">
        <v>9</v>
      </c>
      <c r="Q2" s="3">
        <v>10</v>
      </c>
      <c r="R2" s="3">
        <v>11</v>
      </c>
      <c r="S2" s="3">
        <v>12</v>
      </c>
      <c r="T2" s="3">
        <v>13</v>
      </c>
      <c r="U2" s="3">
        <v>14</v>
      </c>
      <c r="V2" s="3">
        <v>15</v>
      </c>
      <c r="W2" s="3">
        <v>16</v>
      </c>
      <c r="X2" s="3">
        <v>17</v>
      </c>
      <c r="Y2" s="3">
        <v>18</v>
      </c>
      <c r="Z2" s="3">
        <v>19</v>
      </c>
      <c r="AA2" s="3">
        <v>20</v>
      </c>
      <c r="AC2" s="13" t="s">
        <v>200</v>
      </c>
      <c r="AD2" s="15" t="s">
        <v>228</v>
      </c>
    </row>
    <row r="3" spans="1:30" x14ac:dyDescent="0.25">
      <c r="A3" t="s">
        <v>201</v>
      </c>
      <c r="B3">
        <v>1</v>
      </c>
      <c r="C3" t="s">
        <v>202</v>
      </c>
      <c r="D3" t="s">
        <v>203</v>
      </c>
      <c r="E3" t="s">
        <v>204</v>
      </c>
      <c r="F3">
        <v>0</v>
      </c>
      <c r="G3">
        <v>2</v>
      </c>
      <c r="H3" s="1">
        <v>40216</v>
      </c>
      <c r="I3" s="1">
        <v>40217</v>
      </c>
      <c r="J3" s="1">
        <v>40218</v>
      </c>
      <c r="K3" s="1">
        <v>40219</v>
      </c>
      <c r="L3" s="1">
        <v>40220</v>
      </c>
      <c r="M3" s="1">
        <v>40221</v>
      </c>
      <c r="N3" s="1">
        <v>40222</v>
      </c>
      <c r="O3" s="1">
        <v>40223</v>
      </c>
      <c r="P3" s="1">
        <v>40224</v>
      </c>
      <c r="Q3" s="1">
        <v>40225</v>
      </c>
      <c r="R3" s="1">
        <v>40226</v>
      </c>
      <c r="S3" s="1">
        <v>40227</v>
      </c>
      <c r="T3" s="1">
        <v>40228</v>
      </c>
      <c r="U3" s="1">
        <v>40229</v>
      </c>
      <c r="V3" s="1">
        <v>40230</v>
      </c>
      <c r="W3" s="1">
        <v>40231</v>
      </c>
      <c r="X3" s="1">
        <v>40232</v>
      </c>
      <c r="Y3" s="1">
        <v>40233</v>
      </c>
      <c r="Z3" s="1">
        <v>40234</v>
      </c>
      <c r="AA3" s="1">
        <v>40235</v>
      </c>
      <c r="AC3" s="13" t="s">
        <v>205</v>
      </c>
      <c r="AD3" s="4">
        <v>1</v>
      </c>
    </row>
    <row r="4" spans="1:30" x14ac:dyDescent="0.25">
      <c r="A4" t="s">
        <v>229</v>
      </c>
      <c r="B4">
        <v>2</v>
      </c>
      <c r="C4" t="s">
        <v>215</v>
      </c>
      <c r="D4" t="s">
        <v>2</v>
      </c>
      <c r="E4" t="s">
        <v>204</v>
      </c>
      <c r="F4">
        <v>-32767</v>
      </c>
      <c r="G4">
        <v>32767</v>
      </c>
      <c r="H4" s="16">
        <v>40002</v>
      </c>
      <c r="I4" s="16">
        <v>40003</v>
      </c>
      <c r="J4" s="16">
        <v>40004</v>
      </c>
      <c r="K4" s="16">
        <v>40005</v>
      </c>
      <c r="L4" s="16">
        <v>40006</v>
      </c>
      <c r="M4" s="16">
        <v>40007</v>
      </c>
      <c r="N4" s="16">
        <v>40008</v>
      </c>
      <c r="O4" s="16">
        <v>40009</v>
      </c>
      <c r="P4" s="16">
        <v>40010</v>
      </c>
      <c r="Q4" s="16">
        <v>40011</v>
      </c>
      <c r="R4" s="16">
        <v>40012</v>
      </c>
      <c r="S4" s="16">
        <v>40013</v>
      </c>
      <c r="T4" s="16">
        <v>40014</v>
      </c>
      <c r="U4" s="16">
        <v>40015</v>
      </c>
      <c r="V4" s="16">
        <v>40016</v>
      </c>
      <c r="W4" s="16">
        <v>40017</v>
      </c>
      <c r="X4" s="16">
        <v>40018</v>
      </c>
      <c r="Y4" s="16">
        <v>40019</v>
      </c>
      <c r="Z4" s="16">
        <v>40020</v>
      </c>
      <c r="AA4" s="16">
        <v>40021</v>
      </c>
      <c r="AC4" s="13" t="s">
        <v>206</v>
      </c>
      <c r="AD4" s="4" t="s">
        <v>207</v>
      </c>
    </row>
    <row r="5" spans="1:30" x14ac:dyDescent="0.25">
      <c r="A5" t="s">
        <v>230</v>
      </c>
      <c r="B5">
        <v>3</v>
      </c>
      <c r="C5" t="s">
        <v>216</v>
      </c>
      <c r="D5" t="s">
        <v>2</v>
      </c>
      <c r="E5" t="s">
        <v>214</v>
      </c>
      <c r="F5">
        <v>0</v>
      </c>
      <c r="G5">
        <v>255</v>
      </c>
      <c r="H5" s="1">
        <v>30048</v>
      </c>
      <c r="I5" s="1">
        <v>30049</v>
      </c>
      <c r="J5" s="1">
        <v>30050</v>
      </c>
      <c r="K5" s="1">
        <v>30051</v>
      </c>
      <c r="L5" s="1">
        <v>30052</v>
      </c>
      <c r="M5" s="1">
        <v>30053</v>
      </c>
      <c r="N5" s="1">
        <v>30054</v>
      </c>
      <c r="O5" s="1">
        <v>30055</v>
      </c>
      <c r="P5" s="1">
        <v>30056</v>
      </c>
      <c r="Q5" s="1">
        <v>30057</v>
      </c>
      <c r="R5" s="1">
        <v>30058</v>
      </c>
      <c r="S5" s="1">
        <v>30059</v>
      </c>
      <c r="T5" s="1">
        <v>30060</v>
      </c>
      <c r="U5" s="1">
        <v>30061</v>
      </c>
      <c r="V5" s="1">
        <v>30062</v>
      </c>
      <c r="W5" s="1">
        <v>30063</v>
      </c>
      <c r="X5" s="1">
        <v>30064</v>
      </c>
      <c r="Y5" s="1">
        <v>30065</v>
      </c>
      <c r="Z5" s="1">
        <v>30066</v>
      </c>
      <c r="AA5" s="1">
        <v>30067</v>
      </c>
      <c r="AC5" s="13" t="s">
        <v>208</v>
      </c>
      <c r="AD5" s="4" t="s">
        <v>209</v>
      </c>
    </row>
    <row r="6" spans="1:30" x14ac:dyDescent="0.25">
      <c r="A6" t="s">
        <v>231</v>
      </c>
      <c r="B6">
        <v>4</v>
      </c>
      <c r="C6" t="s">
        <v>217</v>
      </c>
      <c r="D6" t="s">
        <v>2</v>
      </c>
      <c r="E6" t="s">
        <v>214</v>
      </c>
      <c r="F6">
        <v>0</v>
      </c>
      <c r="G6">
        <v>255</v>
      </c>
      <c r="H6" s="1">
        <v>30088</v>
      </c>
      <c r="I6" s="1">
        <v>30089</v>
      </c>
      <c r="J6" s="1">
        <v>30090</v>
      </c>
      <c r="K6" s="1">
        <v>30091</v>
      </c>
      <c r="L6" s="1">
        <v>30092</v>
      </c>
      <c r="M6" s="1">
        <v>30093</v>
      </c>
      <c r="N6" s="1">
        <v>30094</v>
      </c>
      <c r="O6" s="1">
        <v>30095</v>
      </c>
      <c r="P6" s="1">
        <v>30096</v>
      </c>
      <c r="Q6" s="1">
        <v>30097</v>
      </c>
      <c r="R6" s="1">
        <v>30098</v>
      </c>
      <c r="S6" s="1">
        <v>30099</v>
      </c>
      <c r="T6" s="1">
        <v>30100</v>
      </c>
      <c r="U6" s="1">
        <v>30101</v>
      </c>
      <c r="V6" s="1">
        <v>30102</v>
      </c>
      <c r="W6" s="1">
        <v>30103</v>
      </c>
      <c r="X6" s="1">
        <v>30104</v>
      </c>
      <c r="Y6" s="1">
        <v>30105</v>
      </c>
      <c r="Z6" s="1">
        <v>30106</v>
      </c>
      <c r="AA6" s="1">
        <v>30107</v>
      </c>
      <c r="AC6" s="13" t="s">
        <v>210</v>
      </c>
      <c r="AD6" s="4">
        <v>20</v>
      </c>
    </row>
    <row r="7" spans="1:30" x14ac:dyDescent="0.25">
      <c r="A7" t="s">
        <v>232</v>
      </c>
      <c r="B7">
        <v>5</v>
      </c>
      <c r="C7" t="s">
        <v>218</v>
      </c>
      <c r="D7" t="s">
        <v>2</v>
      </c>
      <c r="E7" t="s">
        <v>214</v>
      </c>
      <c r="F7">
        <v>-32767</v>
      </c>
      <c r="G7">
        <v>32767</v>
      </c>
      <c r="H7" s="1">
        <v>30138</v>
      </c>
      <c r="I7" s="1">
        <v>30139</v>
      </c>
      <c r="J7" s="1">
        <v>30140</v>
      </c>
      <c r="K7" s="1">
        <v>30141</v>
      </c>
      <c r="L7" s="1">
        <v>30142</v>
      </c>
      <c r="M7" s="1">
        <v>30143</v>
      </c>
      <c r="N7" s="1">
        <v>30144</v>
      </c>
      <c r="O7" s="1">
        <v>30145</v>
      </c>
      <c r="P7" s="1">
        <v>30146</v>
      </c>
      <c r="Q7" s="1">
        <v>30147</v>
      </c>
      <c r="R7" s="1">
        <v>30148</v>
      </c>
      <c r="S7" s="1">
        <v>30149</v>
      </c>
      <c r="T7" s="1">
        <v>30150</v>
      </c>
      <c r="U7" s="1">
        <v>30151</v>
      </c>
      <c r="V7" s="1">
        <v>30152</v>
      </c>
      <c r="W7" s="1">
        <v>30153</v>
      </c>
      <c r="X7" s="1">
        <v>30154</v>
      </c>
      <c r="Y7" s="1">
        <v>30155</v>
      </c>
      <c r="Z7" s="1">
        <v>30156</v>
      </c>
      <c r="AA7" s="1">
        <v>30157</v>
      </c>
      <c r="AC7" s="13" t="s">
        <v>211</v>
      </c>
      <c r="AD7" s="4">
        <v>12</v>
      </c>
    </row>
    <row r="8" spans="1:30" x14ac:dyDescent="0.25">
      <c r="A8" t="s">
        <v>233</v>
      </c>
      <c r="B8">
        <v>6</v>
      </c>
      <c r="C8" t="s">
        <v>219</v>
      </c>
      <c r="D8" t="s">
        <v>220</v>
      </c>
      <c r="E8" t="s">
        <v>214</v>
      </c>
      <c r="F8">
        <v>0</v>
      </c>
      <c r="G8">
        <v>1</v>
      </c>
      <c r="H8" s="1">
        <v>10090</v>
      </c>
      <c r="I8" s="1">
        <f>H14+2</f>
        <v>10098</v>
      </c>
      <c r="J8" s="1">
        <f t="shared" ref="J8:AA8" si="0">I14+2</f>
        <v>10106</v>
      </c>
      <c r="K8" s="1">
        <f t="shared" si="0"/>
        <v>10114</v>
      </c>
      <c r="L8" s="1">
        <f t="shared" si="0"/>
        <v>10122</v>
      </c>
      <c r="M8" s="1">
        <f t="shared" si="0"/>
        <v>10130</v>
      </c>
      <c r="N8" s="1">
        <f t="shared" si="0"/>
        <v>10138</v>
      </c>
      <c r="O8" s="1">
        <f t="shared" si="0"/>
        <v>10146</v>
      </c>
      <c r="P8" s="1">
        <f t="shared" si="0"/>
        <v>10154</v>
      </c>
      <c r="Q8" s="1">
        <f t="shared" si="0"/>
        <v>10162</v>
      </c>
      <c r="R8" s="1">
        <f t="shared" si="0"/>
        <v>10170</v>
      </c>
      <c r="S8" s="1">
        <f t="shared" si="0"/>
        <v>10178</v>
      </c>
      <c r="T8" s="1">
        <f t="shared" si="0"/>
        <v>10186</v>
      </c>
      <c r="U8" s="1">
        <f t="shared" si="0"/>
        <v>10194</v>
      </c>
      <c r="V8" s="1">
        <f t="shared" si="0"/>
        <v>10202</v>
      </c>
      <c r="W8" s="1">
        <f t="shared" si="0"/>
        <v>10210</v>
      </c>
      <c r="X8" s="1">
        <f t="shared" si="0"/>
        <v>10218</v>
      </c>
      <c r="Y8" s="1">
        <f t="shared" si="0"/>
        <v>10226</v>
      </c>
      <c r="Z8" s="1">
        <f t="shared" si="0"/>
        <v>10234</v>
      </c>
      <c r="AA8" s="1">
        <f t="shared" si="0"/>
        <v>10242</v>
      </c>
      <c r="AC8" s="13" t="s">
        <v>212</v>
      </c>
      <c r="AD8" s="4" t="s">
        <v>241</v>
      </c>
    </row>
    <row r="9" spans="1:30" x14ac:dyDescent="0.25">
      <c r="A9" t="s">
        <v>234</v>
      </c>
      <c r="B9">
        <v>7</v>
      </c>
      <c r="C9" t="s">
        <v>221</v>
      </c>
      <c r="D9" t="s">
        <v>220</v>
      </c>
      <c r="E9" t="s">
        <v>214</v>
      </c>
      <c r="F9">
        <v>0</v>
      </c>
      <c r="G9">
        <v>1</v>
      </c>
      <c r="H9" s="1">
        <f>H8+1</f>
        <v>10091</v>
      </c>
      <c r="I9" s="1">
        <f t="shared" ref="I9:AA14" si="1">I8+1</f>
        <v>10099</v>
      </c>
      <c r="J9" s="1">
        <f t="shared" si="1"/>
        <v>10107</v>
      </c>
      <c r="K9" s="1">
        <f t="shared" si="1"/>
        <v>10115</v>
      </c>
      <c r="L9" s="1">
        <f t="shared" si="1"/>
        <v>10123</v>
      </c>
      <c r="M9" s="1">
        <f t="shared" si="1"/>
        <v>10131</v>
      </c>
      <c r="N9" s="1">
        <f t="shared" si="1"/>
        <v>10139</v>
      </c>
      <c r="O9" s="1">
        <f t="shared" si="1"/>
        <v>10147</v>
      </c>
      <c r="P9" s="1">
        <f t="shared" si="1"/>
        <v>10155</v>
      </c>
      <c r="Q9" s="1">
        <f t="shared" si="1"/>
        <v>10163</v>
      </c>
      <c r="R9" s="1">
        <f t="shared" si="1"/>
        <v>10171</v>
      </c>
      <c r="S9" s="1">
        <f t="shared" si="1"/>
        <v>10179</v>
      </c>
      <c r="T9" s="1">
        <f t="shared" si="1"/>
        <v>10187</v>
      </c>
      <c r="U9" s="1">
        <f t="shared" si="1"/>
        <v>10195</v>
      </c>
      <c r="V9" s="1">
        <f t="shared" si="1"/>
        <v>10203</v>
      </c>
      <c r="W9" s="1">
        <f t="shared" si="1"/>
        <v>10211</v>
      </c>
      <c r="X9" s="1">
        <f t="shared" si="1"/>
        <v>10219</v>
      </c>
      <c r="Y9" s="1">
        <f t="shared" si="1"/>
        <v>10227</v>
      </c>
      <c r="Z9" s="1">
        <f t="shared" si="1"/>
        <v>10235</v>
      </c>
      <c r="AA9" s="1">
        <f t="shared" si="1"/>
        <v>10243</v>
      </c>
      <c r="AC9" s="13" t="s">
        <v>213</v>
      </c>
      <c r="AD9" s="4">
        <v>116</v>
      </c>
    </row>
    <row r="10" spans="1:30" x14ac:dyDescent="0.25">
      <c r="A10" t="s">
        <v>235</v>
      </c>
      <c r="B10">
        <v>8</v>
      </c>
      <c r="C10" t="s">
        <v>222</v>
      </c>
      <c r="D10" t="s">
        <v>220</v>
      </c>
      <c r="E10" t="s">
        <v>214</v>
      </c>
      <c r="F10">
        <v>0</v>
      </c>
      <c r="G10">
        <v>1</v>
      </c>
      <c r="H10" s="1">
        <f t="shared" ref="H10:H14" si="2">H9+1</f>
        <v>10092</v>
      </c>
      <c r="I10" s="1">
        <f t="shared" si="1"/>
        <v>10100</v>
      </c>
      <c r="J10" s="1">
        <f t="shared" si="1"/>
        <v>10108</v>
      </c>
      <c r="K10" s="1">
        <f t="shared" si="1"/>
        <v>10116</v>
      </c>
      <c r="L10" s="1">
        <f t="shared" si="1"/>
        <v>10124</v>
      </c>
      <c r="M10" s="1">
        <f t="shared" si="1"/>
        <v>10132</v>
      </c>
      <c r="N10" s="1">
        <f t="shared" si="1"/>
        <v>10140</v>
      </c>
      <c r="O10" s="1">
        <f t="shared" si="1"/>
        <v>10148</v>
      </c>
      <c r="P10" s="1">
        <f t="shared" si="1"/>
        <v>10156</v>
      </c>
      <c r="Q10" s="1">
        <f t="shared" si="1"/>
        <v>10164</v>
      </c>
      <c r="R10" s="1">
        <f t="shared" si="1"/>
        <v>10172</v>
      </c>
      <c r="S10" s="1">
        <f t="shared" si="1"/>
        <v>10180</v>
      </c>
      <c r="T10" s="1">
        <f t="shared" si="1"/>
        <v>10188</v>
      </c>
      <c r="U10" s="1">
        <f t="shared" si="1"/>
        <v>10196</v>
      </c>
      <c r="V10" s="1">
        <f t="shared" si="1"/>
        <v>10204</v>
      </c>
      <c r="W10" s="1">
        <f t="shared" si="1"/>
        <v>10212</v>
      </c>
      <c r="X10" s="1">
        <f t="shared" si="1"/>
        <v>10220</v>
      </c>
      <c r="Y10" s="1">
        <f t="shared" si="1"/>
        <v>10228</v>
      </c>
      <c r="Z10" s="1">
        <f t="shared" si="1"/>
        <v>10236</v>
      </c>
      <c r="AA10" s="1">
        <f t="shared" si="1"/>
        <v>10244</v>
      </c>
      <c r="AC10" s="13" t="s">
        <v>227</v>
      </c>
      <c r="AD10" s="4">
        <v>1</v>
      </c>
    </row>
    <row r="11" spans="1:30" x14ac:dyDescent="0.25">
      <c r="A11" t="s">
        <v>236</v>
      </c>
      <c r="B11">
        <v>9</v>
      </c>
      <c r="C11" t="s">
        <v>223</v>
      </c>
      <c r="D11" t="s">
        <v>220</v>
      </c>
      <c r="E11" t="s">
        <v>214</v>
      </c>
      <c r="F11">
        <v>0</v>
      </c>
      <c r="G11">
        <v>1</v>
      </c>
      <c r="H11" s="1">
        <f t="shared" si="2"/>
        <v>10093</v>
      </c>
      <c r="I11" s="1">
        <f t="shared" si="1"/>
        <v>10101</v>
      </c>
      <c r="J11" s="1">
        <f t="shared" si="1"/>
        <v>10109</v>
      </c>
      <c r="K11" s="1">
        <f t="shared" si="1"/>
        <v>10117</v>
      </c>
      <c r="L11" s="1">
        <f t="shared" si="1"/>
        <v>10125</v>
      </c>
      <c r="M11" s="1">
        <f t="shared" si="1"/>
        <v>10133</v>
      </c>
      <c r="N11" s="1">
        <f t="shared" si="1"/>
        <v>10141</v>
      </c>
      <c r="O11" s="1">
        <f t="shared" si="1"/>
        <v>10149</v>
      </c>
      <c r="P11" s="1">
        <f t="shared" si="1"/>
        <v>10157</v>
      </c>
      <c r="Q11" s="1">
        <f t="shared" si="1"/>
        <v>10165</v>
      </c>
      <c r="R11" s="1">
        <f t="shared" si="1"/>
        <v>10173</v>
      </c>
      <c r="S11" s="1">
        <f t="shared" si="1"/>
        <v>10181</v>
      </c>
      <c r="T11" s="1">
        <f t="shared" si="1"/>
        <v>10189</v>
      </c>
      <c r="U11" s="1">
        <f t="shared" si="1"/>
        <v>10197</v>
      </c>
      <c r="V11" s="1">
        <f t="shared" si="1"/>
        <v>10205</v>
      </c>
      <c r="W11" s="1">
        <f t="shared" si="1"/>
        <v>10213</v>
      </c>
      <c r="X11" s="1">
        <f t="shared" si="1"/>
        <v>10221</v>
      </c>
      <c r="Y11" s="1">
        <f t="shared" si="1"/>
        <v>10229</v>
      </c>
      <c r="Z11" s="1">
        <f t="shared" si="1"/>
        <v>10237</v>
      </c>
      <c r="AA11" s="1">
        <f t="shared" si="1"/>
        <v>10245</v>
      </c>
    </row>
    <row r="12" spans="1:30" x14ac:dyDescent="0.25">
      <c r="A12" t="s">
        <v>237</v>
      </c>
      <c r="B12">
        <v>10</v>
      </c>
      <c r="C12" t="s">
        <v>224</v>
      </c>
      <c r="D12" t="s">
        <v>220</v>
      </c>
      <c r="E12" t="s">
        <v>214</v>
      </c>
      <c r="F12">
        <v>0</v>
      </c>
      <c r="G12">
        <v>1</v>
      </c>
      <c r="H12" s="1">
        <f t="shared" si="2"/>
        <v>10094</v>
      </c>
      <c r="I12" s="1">
        <f t="shared" si="1"/>
        <v>10102</v>
      </c>
      <c r="J12" s="1">
        <f t="shared" si="1"/>
        <v>10110</v>
      </c>
      <c r="K12" s="1">
        <f t="shared" si="1"/>
        <v>10118</v>
      </c>
      <c r="L12" s="1">
        <f t="shared" si="1"/>
        <v>10126</v>
      </c>
      <c r="M12" s="1">
        <f t="shared" si="1"/>
        <v>10134</v>
      </c>
      <c r="N12" s="1">
        <f t="shared" si="1"/>
        <v>10142</v>
      </c>
      <c r="O12" s="1">
        <f t="shared" si="1"/>
        <v>10150</v>
      </c>
      <c r="P12" s="1">
        <f t="shared" si="1"/>
        <v>10158</v>
      </c>
      <c r="Q12" s="1">
        <f t="shared" si="1"/>
        <v>10166</v>
      </c>
      <c r="R12" s="1">
        <f t="shared" si="1"/>
        <v>10174</v>
      </c>
      <c r="S12" s="1">
        <f t="shared" si="1"/>
        <v>10182</v>
      </c>
      <c r="T12" s="1">
        <f t="shared" si="1"/>
        <v>10190</v>
      </c>
      <c r="U12" s="1">
        <f t="shared" si="1"/>
        <v>10198</v>
      </c>
      <c r="V12" s="1">
        <f t="shared" si="1"/>
        <v>10206</v>
      </c>
      <c r="W12" s="1">
        <f t="shared" si="1"/>
        <v>10214</v>
      </c>
      <c r="X12" s="1">
        <f t="shared" si="1"/>
        <v>10222</v>
      </c>
      <c r="Y12" s="1">
        <f t="shared" si="1"/>
        <v>10230</v>
      </c>
      <c r="Z12" s="1">
        <f t="shared" si="1"/>
        <v>10238</v>
      </c>
      <c r="AA12" s="1">
        <f t="shared" si="1"/>
        <v>10246</v>
      </c>
    </row>
    <row r="13" spans="1:30" x14ac:dyDescent="0.25">
      <c r="A13" t="s">
        <v>238</v>
      </c>
      <c r="B13">
        <v>11</v>
      </c>
      <c r="C13" t="s">
        <v>225</v>
      </c>
      <c r="D13" t="s">
        <v>220</v>
      </c>
      <c r="E13" t="s">
        <v>214</v>
      </c>
      <c r="F13">
        <v>0</v>
      </c>
      <c r="G13">
        <v>1</v>
      </c>
      <c r="H13" s="1">
        <f t="shared" si="2"/>
        <v>10095</v>
      </c>
      <c r="I13" s="1">
        <f t="shared" si="1"/>
        <v>10103</v>
      </c>
      <c r="J13" s="1">
        <f t="shared" si="1"/>
        <v>10111</v>
      </c>
      <c r="K13" s="1">
        <f t="shared" si="1"/>
        <v>10119</v>
      </c>
      <c r="L13" s="1">
        <f t="shared" si="1"/>
        <v>10127</v>
      </c>
      <c r="M13" s="1">
        <f t="shared" si="1"/>
        <v>10135</v>
      </c>
      <c r="N13" s="1">
        <f t="shared" si="1"/>
        <v>10143</v>
      </c>
      <c r="O13" s="1">
        <f t="shared" si="1"/>
        <v>10151</v>
      </c>
      <c r="P13" s="1">
        <f t="shared" si="1"/>
        <v>10159</v>
      </c>
      <c r="Q13" s="1">
        <f t="shared" si="1"/>
        <v>10167</v>
      </c>
      <c r="R13" s="1">
        <f t="shared" si="1"/>
        <v>10175</v>
      </c>
      <c r="S13" s="1">
        <f t="shared" si="1"/>
        <v>10183</v>
      </c>
      <c r="T13" s="1">
        <f t="shared" si="1"/>
        <v>10191</v>
      </c>
      <c r="U13" s="1">
        <f t="shared" si="1"/>
        <v>10199</v>
      </c>
      <c r="V13" s="1">
        <f t="shared" si="1"/>
        <v>10207</v>
      </c>
      <c r="W13" s="1">
        <f t="shared" si="1"/>
        <v>10215</v>
      </c>
      <c r="X13" s="1">
        <f t="shared" si="1"/>
        <v>10223</v>
      </c>
      <c r="Y13" s="1">
        <f t="shared" si="1"/>
        <v>10231</v>
      </c>
      <c r="Z13" s="1">
        <f t="shared" si="1"/>
        <v>10239</v>
      </c>
      <c r="AA13" s="1">
        <f t="shared" si="1"/>
        <v>10247</v>
      </c>
    </row>
    <row r="14" spans="1:30" x14ac:dyDescent="0.25">
      <c r="A14" t="s">
        <v>239</v>
      </c>
      <c r="B14">
        <v>12</v>
      </c>
      <c r="C14" t="s">
        <v>226</v>
      </c>
      <c r="D14" t="s">
        <v>220</v>
      </c>
      <c r="E14" t="s">
        <v>214</v>
      </c>
      <c r="F14">
        <v>0</v>
      </c>
      <c r="G14">
        <v>1</v>
      </c>
      <c r="H14" s="1">
        <f t="shared" si="2"/>
        <v>10096</v>
      </c>
      <c r="I14" s="1">
        <f t="shared" si="1"/>
        <v>10104</v>
      </c>
      <c r="J14" s="1">
        <f t="shared" si="1"/>
        <v>10112</v>
      </c>
      <c r="K14" s="1">
        <f t="shared" si="1"/>
        <v>10120</v>
      </c>
      <c r="L14" s="1">
        <f t="shared" si="1"/>
        <v>10128</v>
      </c>
      <c r="M14" s="1">
        <f t="shared" si="1"/>
        <v>10136</v>
      </c>
      <c r="N14" s="1">
        <f t="shared" si="1"/>
        <v>10144</v>
      </c>
      <c r="O14" s="1">
        <f t="shared" si="1"/>
        <v>10152</v>
      </c>
      <c r="P14" s="1">
        <f t="shared" si="1"/>
        <v>10160</v>
      </c>
      <c r="Q14" s="1">
        <f t="shared" si="1"/>
        <v>10168</v>
      </c>
      <c r="R14" s="1">
        <f t="shared" si="1"/>
        <v>10176</v>
      </c>
      <c r="S14" s="1">
        <f t="shared" si="1"/>
        <v>10184</v>
      </c>
      <c r="T14" s="1">
        <f t="shared" si="1"/>
        <v>10192</v>
      </c>
      <c r="U14" s="1">
        <f t="shared" si="1"/>
        <v>10200</v>
      </c>
      <c r="V14" s="1">
        <f t="shared" si="1"/>
        <v>10208</v>
      </c>
      <c r="W14" s="1">
        <f t="shared" si="1"/>
        <v>10216</v>
      </c>
      <c r="X14" s="1">
        <f t="shared" si="1"/>
        <v>10224</v>
      </c>
      <c r="Y14" s="1">
        <f t="shared" si="1"/>
        <v>10232</v>
      </c>
      <c r="Z14" s="1">
        <f t="shared" si="1"/>
        <v>10240</v>
      </c>
      <c r="AA14" s="1">
        <f t="shared" si="1"/>
        <v>10248</v>
      </c>
    </row>
  </sheetData>
  <mergeCells count="8">
    <mergeCell ref="G1:G2"/>
    <mergeCell ref="H1:AA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opLeftCell="B1" workbookViewId="0">
      <selection activeCell="K10" sqref="K10"/>
    </sheetView>
  </sheetViews>
  <sheetFormatPr defaultRowHeight="15" x14ac:dyDescent="0.25"/>
  <cols>
    <col min="1" max="1" width="40.285156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1" bestFit="1" customWidth="1"/>
    <col min="10" max="10" width="31.5703125" bestFit="1" customWidth="1"/>
    <col min="11" max="11" width="10.28515625" style="4" bestFit="1" customWidth="1"/>
  </cols>
  <sheetData>
    <row r="1" spans="1:11" s="12" customFormat="1" x14ac:dyDescent="0.25">
      <c r="A1" s="10" t="s">
        <v>191</v>
      </c>
      <c r="B1" s="10" t="s">
        <v>192</v>
      </c>
      <c r="C1" s="10" t="s">
        <v>193</v>
      </c>
      <c r="D1" s="10" t="s">
        <v>194</v>
      </c>
      <c r="E1" s="10" t="s">
        <v>195</v>
      </c>
      <c r="F1" s="10" t="s">
        <v>196</v>
      </c>
      <c r="G1" s="10" t="s">
        <v>197</v>
      </c>
      <c r="H1" s="3" t="s">
        <v>198</v>
      </c>
      <c r="J1" s="13" t="s">
        <v>199</v>
      </c>
      <c r="K1" s="14" t="s">
        <v>396</v>
      </c>
    </row>
    <row r="2" spans="1:11" s="12" customFormat="1" x14ac:dyDescent="0.25">
      <c r="A2" s="10"/>
      <c r="B2" s="10"/>
      <c r="C2" s="10"/>
      <c r="D2" s="10"/>
      <c r="E2" s="10"/>
      <c r="F2" s="10"/>
      <c r="G2" s="10"/>
      <c r="H2" s="3">
        <v>1</v>
      </c>
      <c r="J2" s="13" t="s">
        <v>200</v>
      </c>
      <c r="K2" s="18">
        <v>21</v>
      </c>
    </row>
    <row r="3" spans="1:11" x14ac:dyDescent="0.25">
      <c r="A3" t="s">
        <v>316</v>
      </c>
      <c r="B3">
        <v>1</v>
      </c>
      <c r="C3" t="s">
        <v>242</v>
      </c>
      <c r="D3" t="s">
        <v>2</v>
      </c>
      <c r="E3" t="s">
        <v>204</v>
      </c>
      <c r="F3">
        <v>0</v>
      </c>
      <c r="G3">
        <v>65535</v>
      </c>
      <c r="H3" s="1">
        <v>40001</v>
      </c>
      <c r="J3" s="13" t="s">
        <v>205</v>
      </c>
      <c r="K3" s="4">
        <v>2</v>
      </c>
    </row>
    <row r="4" spans="1:11" x14ac:dyDescent="0.25">
      <c r="A4" t="s">
        <v>317</v>
      </c>
      <c r="B4">
        <v>2</v>
      </c>
      <c r="C4" t="s">
        <v>243</v>
      </c>
      <c r="D4" t="s">
        <v>220</v>
      </c>
      <c r="E4" t="s">
        <v>214</v>
      </c>
      <c r="F4">
        <v>-32767</v>
      </c>
      <c r="G4">
        <v>32767</v>
      </c>
      <c r="H4" s="16">
        <v>10001</v>
      </c>
      <c r="J4" s="13" t="s">
        <v>206</v>
      </c>
      <c r="K4" s="4" t="s">
        <v>207</v>
      </c>
    </row>
    <row r="5" spans="1:11" x14ac:dyDescent="0.25">
      <c r="A5" t="s">
        <v>318</v>
      </c>
      <c r="B5">
        <v>3</v>
      </c>
      <c r="C5" t="s">
        <v>244</v>
      </c>
      <c r="D5" t="s">
        <v>220</v>
      </c>
      <c r="E5" t="s">
        <v>214</v>
      </c>
      <c r="F5">
        <v>0</v>
      </c>
      <c r="G5">
        <v>255</v>
      </c>
      <c r="H5" s="16">
        <v>10002</v>
      </c>
      <c r="J5" s="13" t="s">
        <v>208</v>
      </c>
      <c r="K5" s="4" t="s">
        <v>207</v>
      </c>
    </row>
    <row r="6" spans="1:11" x14ac:dyDescent="0.25">
      <c r="A6" t="s">
        <v>319</v>
      </c>
      <c r="B6">
        <v>4</v>
      </c>
      <c r="C6" t="s">
        <v>245</v>
      </c>
      <c r="D6" t="s">
        <v>220</v>
      </c>
      <c r="E6" t="s">
        <v>214</v>
      </c>
      <c r="F6">
        <v>0</v>
      </c>
      <c r="G6">
        <v>255</v>
      </c>
      <c r="H6" s="16">
        <v>10003</v>
      </c>
      <c r="J6" s="13" t="s">
        <v>210</v>
      </c>
      <c r="K6" s="4">
        <v>1</v>
      </c>
    </row>
    <row r="7" spans="1:11" x14ac:dyDescent="0.25">
      <c r="A7" t="s">
        <v>320</v>
      </c>
      <c r="B7">
        <v>5</v>
      </c>
      <c r="C7" t="s">
        <v>246</v>
      </c>
      <c r="D7" t="s">
        <v>220</v>
      </c>
      <c r="E7" t="s">
        <v>214</v>
      </c>
      <c r="F7">
        <v>-32767</v>
      </c>
      <c r="G7">
        <v>32767</v>
      </c>
      <c r="H7" s="16">
        <v>10004</v>
      </c>
      <c r="J7" s="13" t="s">
        <v>211</v>
      </c>
      <c r="K7" s="4">
        <v>77</v>
      </c>
    </row>
    <row r="8" spans="1:11" x14ac:dyDescent="0.25">
      <c r="A8" t="s">
        <v>321</v>
      </c>
      <c r="B8">
        <v>6</v>
      </c>
      <c r="C8" t="s">
        <v>247</v>
      </c>
      <c r="D8" t="s">
        <v>220</v>
      </c>
      <c r="E8" t="s">
        <v>214</v>
      </c>
      <c r="F8">
        <v>0</v>
      </c>
      <c r="G8">
        <v>1</v>
      </c>
      <c r="H8" s="16">
        <v>10005</v>
      </c>
      <c r="J8" s="13" t="s">
        <v>212</v>
      </c>
      <c r="K8" s="4" t="s">
        <v>399</v>
      </c>
    </row>
    <row r="9" spans="1:11" x14ac:dyDescent="0.25">
      <c r="A9" t="s">
        <v>322</v>
      </c>
      <c r="B9">
        <v>7</v>
      </c>
      <c r="C9" t="s">
        <v>248</v>
      </c>
      <c r="D9" t="s">
        <v>220</v>
      </c>
      <c r="E9" t="s">
        <v>214</v>
      </c>
      <c r="F9">
        <v>0</v>
      </c>
      <c r="G9">
        <v>1</v>
      </c>
      <c r="H9" s="16">
        <v>10006</v>
      </c>
      <c r="J9" s="13" t="s">
        <v>213</v>
      </c>
      <c r="K9" s="4">
        <v>114</v>
      </c>
    </row>
    <row r="10" spans="1:11" x14ac:dyDescent="0.25">
      <c r="A10" t="s">
        <v>117</v>
      </c>
      <c r="B10">
        <v>8</v>
      </c>
      <c r="C10" t="s">
        <v>249</v>
      </c>
      <c r="D10" t="s">
        <v>220</v>
      </c>
      <c r="E10" t="s">
        <v>214</v>
      </c>
      <c r="F10">
        <v>0</v>
      </c>
      <c r="G10">
        <v>1</v>
      </c>
      <c r="H10" s="16">
        <v>10007</v>
      </c>
      <c r="J10" s="13" t="s">
        <v>227</v>
      </c>
      <c r="K10" s="4">
        <v>1</v>
      </c>
    </row>
    <row r="11" spans="1:11" x14ac:dyDescent="0.25">
      <c r="A11" t="s">
        <v>323</v>
      </c>
      <c r="B11">
        <v>9</v>
      </c>
      <c r="C11" t="s">
        <v>250</v>
      </c>
      <c r="D11" t="s">
        <v>220</v>
      </c>
      <c r="E11" t="s">
        <v>214</v>
      </c>
      <c r="F11">
        <v>0</v>
      </c>
      <c r="G11">
        <v>1</v>
      </c>
      <c r="H11" s="16">
        <v>10008</v>
      </c>
    </row>
    <row r="12" spans="1:11" x14ac:dyDescent="0.25">
      <c r="A12" t="s">
        <v>324</v>
      </c>
      <c r="B12">
        <v>10</v>
      </c>
      <c r="C12" t="s">
        <v>251</v>
      </c>
      <c r="D12" t="s">
        <v>220</v>
      </c>
      <c r="E12" t="s">
        <v>214</v>
      </c>
      <c r="F12">
        <v>0</v>
      </c>
      <c r="G12">
        <v>1</v>
      </c>
      <c r="H12" s="1">
        <v>10012</v>
      </c>
    </row>
    <row r="13" spans="1:11" x14ac:dyDescent="0.25">
      <c r="A13" t="s">
        <v>325</v>
      </c>
      <c r="B13">
        <v>11</v>
      </c>
      <c r="C13" t="s">
        <v>252</v>
      </c>
      <c r="D13" t="s">
        <v>220</v>
      </c>
      <c r="E13" t="s">
        <v>214</v>
      </c>
      <c r="F13">
        <v>0</v>
      </c>
      <c r="G13">
        <v>1</v>
      </c>
      <c r="H13" s="1">
        <v>10013</v>
      </c>
    </row>
    <row r="14" spans="1:11" x14ac:dyDescent="0.25">
      <c r="A14" t="s">
        <v>326</v>
      </c>
      <c r="B14">
        <v>12</v>
      </c>
      <c r="C14" t="s">
        <v>253</v>
      </c>
      <c r="D14" t="s">
        <v>220</v>
      </c>
      <c r="E14" t="s">
        <v>214</v>
      </c>
      <c r="F14">
        <v>0</v>
      </c>
      <c r="G14">
        <v>1</v>
      </c>
      <c r="H14" s="1">
        <v>10014</v>
      </c>
    </row>
    <row r="15" spans="1:11" x14ac:dyDescent="0.25">
      <c r="A15" t="s">
        <v>327</v>
      </c>
      <c r="B15">
        <v>13</v>
      </c>
      <c r="C15" t="s">
        <v>254</v>
      </c>
      <c r="D15" t="s">
        <v>220</v>
      </c>
      <c r="E15" t="s">
        <v>214</v>
      </c>
      <c r="F15">
        <v>0</v>
      </c>
      <c r="G15">
        <v>1</v>
      </c>
      <c r="H15" s="1">
        <v>10015</v>
      </c>
    </row>
    <row r="16" spans="1:11" x14ac:dyDescent="0.25">
      <c r="A16" t="s">
        <v>328</v>
      </c>
      <c r="B16">
        <v>14</v>
      </c>
      <c r="C16" t="s">
        <v>255</v>
      </c>
      <c r="D16" t="s">
        <v>220</v>
      </c>
      <c r="E16" t="s">
        <v>214</v>
      </c>
      <c r="F16">
        <v>0</v>
      </c>
      <c r="G16">
        <v>1</v>
      </c>
      <c r="H16" s="1">
        <v>10016</v>
      </c>
    </row>
    <row r="17" spans="1:8" x14ac:dyDescent="0.25">
      <c r="A17" t="s">
        <v>329</v>
      </c>
      <c r="B17">
        <v>15</v>
      </c>
      <c r="C17" t="s">
        <v>256</v>
      </c>
      <c r="D17" t="s">
        <v>220</v>
      </c>
      <c r="E17" t="s">
        <v>214</v>
      </c>
      <c r="F17">
        <v>0</v>
      </c>
      <c r="G17">
        <v>1</v>
      </c>
      <c r="H17" s="1">
        <v>10017</v>
      </c>
    </row>
    <row r="18" spans="1:8" x14ac:dyDescent="0.25">
      <c r="A18" t="s">
        <v>330</v>
      </c>
      <c r="B18">
        <v>16</v>
      </c>
      <c r="C18" t="s">
        <v>257</v>
      </c>
      <c r="D18" t="s">
        <v>220</v>
      </c>
      <c r="E18" t="s">
        <v>214</v>
      </c>
      <c r="F18">
        <v>0</v>
      </c>
      <c r="G18">
        <v>1</v>
      </c>
      <c r="H18" s="1">
        <v>10018</v>
      </c>
    </row>
    <row r="19" spans="1:8" x14ac:dyDescent="0.25">
      <c r="A19" t="s">
        <v>331</v>
      </c>
      <c r="B19">
        <v>17</v>
      </c>
      <c r="C19" t="s">
        <v>258</v>
      </c>
      <c r="D19" t="s">
        <v>220</v>
      </c>
      <c r="E19" t="s">
        <v>214</v>
      </c>
      <c r="F19">
        <v>0</v>
      </c>
      <c r="G19">
        <v>1</v>
      </c>
      <c r="H19" s="1">
        <v>10019</v>
      </c>
    </row>
    <row r="20" spans="1:8" x14ac:dyDescent="0.25">
      <c r="A20" t="s">
        <v>332</v>
      </c>
      <c r="B20">
        <v>18</v>
      </c>
      <c r="C20" t="s">
        <v>259</v>
      </c>
      <c r="D20" t="s">
        <v>220</v>
      </c>
      <c r="E20" t="s">
        <v>214</v>
      </c>
      <c r="F20">
        <v>0</v>
      </c>
      <c r="G20">
        <v>1</v>
      </c>
      <c r="H20" s="1">
        <v>10020</v>
      </c>
    </row>
    <row r="21" spans="1:8" x14ac:dyDescent="0.25">
      <c r="A21" t="s">
        <v>333</v>
      </c>
      <c r="B21">
        <v>19</v>
      </c>
      <c r="C21" t="s">
        <v>260</v>
      </c>
      <c r="D21" t="s">
        <v>220</v>
      </c>
      <c r="E21" t="s">
        <v>214</v>
      </c>
      <c r="F21">
        <v>0</v>
      </c>
      <c r="G21">
        <v>1</v>
      </c>
      <c r="H21" s="1">
        <v>10021</v>
      </c>
    </row>
    <row r="22" spans="1:8" x14ac:dyDescent="0.25">
      <c r="A22" t="s">
        <v>352</v>
      </c>
      <c r="B22">
        <v>20</v>
      </c>
      <c r="C22" t="s">
        <v>261</v>
      </c>
      <c r="D22" t="s">
        <v>220</v>
      </c>
      <c r="E22" t="s">
        <v>214</v>
      </c>
      <c r="F22">
        <v>0</v>
      </c>
      <c r="G22">
        <v>1</v>
      </c>
      <c r="H22" s="1">
        <v>10024</v>
      </c>
    </row>
    <row r="23" spans="1:8" x14ac:dyDescent="0.25">
      <c r="A23" t="s">
        <v>334</v>
      </c>
      <c r="B23">
        <v>21</v>
      </c>
      <c r="C23" t="s">
        <v>262</v>
      </c>
      <c r="D23" t="s">
        <v>220</v>
      </c>
      <c r="E23" t="s">
        <v>214</v>
      </c>
      <c r="F23">
        <v>0</v>
      </c>
      <c r="G23">
        <v>1</v>
      </c>
      <c r="H23" s="1">
        <v>10029</v>
      </c>
    </row>
    <row r="24" spans="1:8" x14ac:dyDescent="0.25">
      <c r="A24" t="s">
        <v>335</v>
      </c>
      <c r="B24">
        <v>22</v>
      </c>
      <c r="C24" t="s">
        <v>263</v>
      </c>
      <c r="D24" t="s">
        <v>220</v>
      </c>
      <c r="E24" t="s">
        <v>214</v>
      </c>
      <c r="F24">
        <v>0</v>
      </c>
      <c r="G24">
        <v>1</v>
      </c>
      <c r="H24" s="1">
        <v>10031</v>
      </c>
    </row>
    <row r="25" spans="1:8" x14ac:dyDescent="0.25">
      <c r="A25" t="s">
        <v>336</v>
      </c>
      <c r="B25">
        <v>23</v>
      </c>
      <c r="C25" t="s">
        <v>264</v>
      </c>
      <c r="D25" t="s">
        <v>220</v>
      </c>
      <c r="E25" t="s">
        <v>214</v>
      </c>
      <c r="F25">
        <v>0</v>
      </c>
      <c r="G25">
        <v>1</v>
      </c>
      <c r="H25" s="1">
        <v>10032</v>
      </c>
    </row>
    <row r="26" spans="1:8" x14ac:dyDescent="0.25">
      <c r="A26" t="s">
        <v>337</v>
      </c>
      <c r="B26">
        <v>24</v>
      </c>
      <c r="C26" t="s">
        <v>265</v>
      </c>
      <c r="D26" t="s">
        <v>220</v>
      </c>
      <c r="E26" t="s">
        <v>214</v>
      </c>
      <c r="F26">
        <v>0</v>
      </c>
      <c r="G26">
        <v>1</v>
      </c>
      <c r="H26" s="1">
        <v>10034</v>
      </c>
    </row>
    <row r="27" spans="1:8" x14ac:dyDescent="0.25">
      <c r="A27" t="s">
        <v>338</v>
      </c>
      <c r="B27">
        <v>25</v>
      </c>
      <c r="C27" t="s">
        <v>266</v>
      </c>
      <c r="D27" t="s">
        <v>220</v>
      </c>
      <c r="E27" t="s">
        <v>214</v>
      </c>
      <c r="F27">
        <v>0</v>
      </c>
      <c r="G27">
        <v>1</v>
      </c>
      <c r="H27" s="1">
        <v>10035</v>
      </c>
    </row>
    <row r="28" spans="1:8" x14ac:dyDescent="0.25">
      <c r="A28" t="s">
        <v>339</v>
      </c>
      <c r="B28">
        <v>26</v>
      </c>
      <c r="C28" t="s">
        <v>267</v>
      </c>
      <c r="D28" t="s">
        <v>220</v>
      </c>
      <c r="E28" t="s">
        <v>214</v>
      </c>
      <c r="F28">
        <v>0</v>
      </c>
      <c r="G28">
        <v>1</v>
      </c>
      <c r="H28" s="1">
        <v>10036</v>
      </c>
    </row>
    <row r="29" spans="1:8" x14ac:dyDescent="0.25">
      <c r="A29" t="s">
        <v>340</v>
      </c>
      <c r="B29">
        <v>27</v>
      </c>
      <c r="C29" t="s">
        <v>268</v>
      </c>
      <c r="D29" t="s">
        <v>220</v>
      </c>
      <c r="E29" t="s">
        <v>214</v>
      </c>
      <c r="F29">
        <v>0</v>
      </c>
      <c r="G29">
        <v>1</v>
      </c>
      <c r="H29" s="1">
        <v>10037</v>
      </c>
    </row>
    <row r="30" spans="1:8" x14ac:dyDescent="0.25">
      <c r="A30" t="s">
        <v>341</v>
      </c>
      <c r="B30">
        <v>28</v>
      </c>
      <c r="C30" t="s">
        <v>269</v>
      </c>
      <c r="D30" t="s">
        <v>220</v>
      </c>
      <c r="E30" t="s">
        <v>214</v>
      </c>
      <c r="F30">
        <v>0</v>
      </c>
      <c r="G30">
        <v>1</v>
      </c>
      <c r="H30" s="1">
        <v>10038</v>
      </c>
    </row>
    <row r="31" spans="1:8" x14ac:dyDescent="0.25">
      <c r="A31" t="s">
        <v>342</v>
      </c>
      <c r="B31">
        <v>29</v>
      </c>
      <c r="C31" t="s">
        <v>270</v>
      </c>
      <c r="D31" t="s">
        <v>220</v>
      </c>
      <c r="E31" t="s">
        <v>214</v>
      </c>
      <c r="F31">
        <v>0</v>
      </c>
      <c r="G31">
        <v>1</v>
      </c>
      <c r="H31" s="1">
        <v>10039</v>
      </c>
    </row>
    <row r="32" spans="1:8" x14ac:dyDescent="0.25">
      <c r="A32" t="s">
        <v>343</v>
      </c>
      <c r="B32">
        <v>30</v>
      </c>
      <c r="C32" t="s">
        <v>271</v>
      </c>
      <c r="D32" t="s">
        <v>220</v>
      </c>
      <c r="E32" t="s">
        <v>214</v>
      </c>
      <c r="F32">
        <v>0</v>
      </c>
      <c r="G32">
        <v>1</v>
      </c>
      <c r="H32" s="1">
        <v>10040</v>
      </c>
    </row>
    <row r="33" spans="1:8" x14ac:dyDescent="0.25">
      <c r="A33" t="s">
        <v>344</v>
      </c>
      <c r="B33">
        <v>31</v>
      </c>
      <c r="C33" t="s">
        <v>272</v>
      </c>
      <c r="D33" t="s">
        <v>220</v>
      </c>
      <c r="E33" t="s">
        <v>214</v>
      </c>
      <c r="F33">
        <v>0</v>
      </c>
      <c r="G33">
        <v>1</v>
      </c>
      <c r="H33" s="1">
        <v>10041</v>
      </c>
    </row>
    <row r="34" spans="1:8" x14ac:dyDescent="0.25">
      <c r="A34" t="s">
        <v>134</v>
      </c>
      <c r="B34">
        <v>32</v>
      </c>
      <c r="C34" t="s">
        <v>273</v>
      </c>
      <c r="D34" t="s">
        <v>220</v>
      </c>
      <c r="E34" t="s">
        <v>214</v>
      </c>
      <c r="F34">
        <v>0</v>
      </c>
      <c r="G34">
        <v>1</v>
      </c>
      <c r="H34" s="1">
        <v>10042</v>
      </c>
    </row>
    <row r="35" spans="1:8" x14ac:dyDescent="0.25">
      <c r="A35" t="s">
        <v>345</v>
      </c>
      <c r="B35">
        <v>33</v>
      </c>
      <c r="C35" t="s">
        <v>274</v>
      </c>
      <c r="D35" t="s">
        <v>220</v>
      </c>
      <c r="E35" t="s">
        <v>214</v>
      </c>
      <c r="F35">
        <v>0</v>
      </c>
      <c r="G35">
        <v>1</v>
      </c>
      <c r="H35" s="1">
        <v>10043</v>
      </c>
    </row>
    <row r="36" spans="1:8" x14ac:dyDescent="0.25">
      <c r="A36" t="s">
        <v>346</v>
      </c>
      <c r="B36">
        <v>34</v>
      </c>
      <c r="C36" t="s">
        <v>275</v>
      </c>
      <c r="D36" t="s">
        <v>220</v>
      </c>
      <c r="E36" t="s">
        <v>214</v>
      </c>
      <c r="F36">
        <v>0</v>
      </c>
      <c r="G36">
        <v>1</v>
      </c>
      <c r="H36" s="1">
        <v>10044</v>
      </c>
    </row>
    <row r="37" spans="1:8" x14ac:dyDescent="0.25">
      <c r="A37" t="s">
        <v>347</v>
      </c>
      <c r="B37">
        <v>35</v>
      </c>
      <c r="C37" t="s">
        <v>276</v>
      </c>
      <c r="D37" t="s">
        <v>220</v>
      </c>
      <c r="E37" t="s">
        <v>214</v>
      </c>
      <c r="F37">
        <v>0</v>
      </c>
      <c r="G37">
        <v>1</v>
      </c>
      <c r="H37" s="1">
        <v>10045</v>
      </c>
    </row>
    <row r="38" spans="1:8" x14ac:dyDescent="0.25">
      <c r="A38" t="s">
        <v>348</v>
      </c>
      <c r="B38">
        <v>36</v>
      </c>
      <c r="C38" t="s">
        <v>277</v>
      </c>
      <c r="D38" t="s">
        <v>220</v>
      </c>
      <c r="E38" t="s">
        <v>214</v>
      </c>
      <c r="F38">
        <v>0</v>
      </c>
      <c r="G38">
        <v>1</v>
      </c>
      <c r="H38" s="1">
        <v>10046</v>
      </c>
    </row>
    <row r="39" spans="1:8" x14ac:dyDescent="0.25">
      <c r="A39" t="s">
        <v>349</v>
      </c>
      <c r="B39">
        <v>37</v>
      </c>
      <c r="C39" t="s">
        <v>278</v>
      </c>
      <c r="D39" t="s">
        <v>220</v>
      </c>
      <c r="E39" t="s">
        <v>214</v>
      </c>
      <c r="F39">
        <v>0</v>
      </c>
      <c r="G39">
        <v>1</v>
      </c>
      <c r="H39" s="1">
        <v>10047</v>
      </c>
    </row>
    <row r="40" spans="1:8" x14ac:dyDescent="0.25">
      <c r="A40" t="s">
        <v>140</v>
      </c>
      <c r="B40">
        <v>38</v>
      </c>
      <c r="C40" t="s">
        <v>279</v>
      </c>
      <c r="D40" t="s">
        <v>220</v>
      </c>
      <c r="E40" t="s">
        <v>214</v>
      </c>
      <c r="F40">
        <v>0</v>
      </c>
      <c r="G40">
        <v>1</v>
      </c>
      <c r="H40" s="1">
        <v>10048</v>
      </c>
    </row>
    <row r="41" spans="1:8" x14ac:dyDescent="0.25">
      <c r="A41" t="s">
        <v>141</v>
      </c>
      <c r="B41">
        <v>39</v>
      </c>
      <c r="C41" t="s">
        <v>280</v>
      </c>
      <c r="D41" t="s">
        <v>220</v>
      </c>
      <c r="E41" t="s">
        <v>214</v>
      </c>
      <c r="F41">
        <v>0</v>
      </c>
      <c r="G41">
        <v>1</v>
      </c>
      <c r="H41" s="1">
        <v>10049</v>
      </c>
    </row>
    <row r="42" spans="1:8" x14ac:dyDescent="0.25">
      <c r="A42" t="s">
        <v>350</v>
      </c>
      <c r="B42">
        <v>40</v>
      </c>
      <c r="C42" s="17" t="s">
        <v>351</v>
      </c>
      <c r="D42" t="s">
        <v>220</v>
      </c>
      <c r="E42" t="s">
        <v>214</v>
      </c>
      <c r="F42">
        <v>0</v>
      </c>
      <c r="G42">
        <v>1</v>
      </c>
      <c r="H42" s="1">
        <v>10050</v>
      </c>
    </row>
    <row r="43" spans="1:8" x14ac:dyDescent="0.25">
      <c r="A43" t="s">
        <v>353</v>
      </c>
      <c r="B43">
        <v>41</v>
      </c>
      <c r="C43" t="s">
        <v>281</v>
      </c>
      <c r="D43" t="s">
        <v>220</v>
      </c>
      <c r="E43" t="s">
        <v>214</v>
      </c>
      <c r="F43">
        <v>0</v>
      </c>
      <c r="G43">
        <v>1</v>
      </c>
      <c r="H43" s="1">
        <v>10051</v>
      </c>
    </row>
    <row r="44" spans="1:8" x14ac:dyDescent="0.25">
      <c r="A44" t="s">
        <v>354</v>
      </c>
      <c r="B44">
        <v>42</v>
      </c>
      <c r="C44" t="s">
        <v>282</v>
      </c>
      <c r="D44" t="s">
        <v>220</v>
      </c>
      <c r="E44" t="s">
        <v>214</v>
      </c>
      <c r="F44">
        <v>0</v>
      </c>
      <c r="G44">
        <v>1</v>
      </c>
      <c r="H44" s="1">
        <v>10053</v>
      </c>
    </row>
    <row r="45" spans="1:8" x14ac:dyDescent="0.25">
      <c r="A45" t="s">
        <v>357</v>
      </c>
      <c r="B45">
        <v>43</v>
      </c>
      <c r="C45" t="s">
        <v>283</v>
      </c>
      <c r="D45" t="s">
        <v>220</v>
      </c>
      <c r="E45" t="s">
        <v>214</v>
      </c>
      <c r="F45">
        <v>0</v>
      </c>
      <c r="G45">
        <v>1</v>
      </c>
      <c r="H45" s="1">
        <v>10054</v>
      </c>
    </row>
    <row r="46" spans="1:8" x14ac:dyDescent="0.25">
      <c r="A46" t="s">
        <v>358</v>
      </c>
      <c r="B46">
        <v>44</v>
      </c>
      <c r="C46" t="s">
        <v>284</v>
      </c>
      <c r="D46" t="s">
        <v>220</v>
      </c>
      <c r="E46" t="s">
        <v>214</v>
      </c>
      <c r="F46">
        <v>0</v>
      </c>
      <c r="G46">
        <v>1</v>
      </c>
      <c r="H46" s="1">
        <v>10055</v>
      </c>
    </row>
    <row r="47" spans="1:8" x14ac:dyDescent="0.25">
      <c r="A47" t="s">
        <v>355</v>
      </c>
      <c r="B47">
        <v>45</v>
      </c>
      <c r="C47" t="s">
        <v>285</v>
      </c>
      <c r="D47" t="s">
        <v>220</v>
      </c>
      <c r="E47" t="s">
        <v>214</v>
      </c>
      <c r="F47">
        <v>0</v>
      </c>
      <c r="G47">
        <v>1</v>
      </c>
      <c r="H47" s="1">
        <v>10056</v>
      </c>
    </row>
    <row r="48" spans="1:8" x14ac:dyDescent="0.25">
      <c r="A48" t="s">
        <v>356</v>
      </c>
      <c r="B48">
        <v>46</v>
      </c>
      <c r="C48" t="s">
        <v>286</v>
      </c>
      <c r="D48" t="s">
        <v>220</v>
      </c>
      <c r="E48" t="s">
        <v>214</v>
      </c>
      <c r="F48">
        <v>0</v>
      </c>
      <c r="G48">
        <v>1</v>
      </c>
      <c r="H48" s="1">
        <v>10060</v>
      </c>
    </row>
    <row r="49" spans="1:8" x14ac:dyDescent="0.25">
      <c r="A49" t="s">
        <v>149</v>
      </c>
      <c r="B49">
        <v>47</v>
      </c>
      <c r="C49" t="s">
        <v>287</v>
      </c>
      <c r="D49" t="s">
        <v>220</v>
      </c>
      <c r="E49" t="s">
        <v>214</v>
      </c>
      <c r="F49">
        <v>0</v>
      </c>
      <c r="G49">
        <v>1</v>
      </c>
      <c r="H49" s="1">
        <v>10061</v>
      </c>
    </row>
    <row r="50" spans="1:8" x14ac:dyDescent="0.25">
      <c r="A50" t="s">
        <v>359</v>
      </c>
      <c r="B50">
        <v>48</v>
      </c>
      <c r="C50" t="s">
        <v>288</v>
      </c>
      <c r="D50" t="s">
        <v>220</v>
      </c>
      <c r="E50" t="s">
        <v>214</v>
      </c>
      <c r="F50">
        <v>0</v>
      </c>
      <c r="G50">
        <v>1</v>
      </c>
      <c r="H50" s="1">
        <v>10062</v>
      </c>
    </row>
    <row r="51" spans="1:8" x14ac:dyDescent="0.25">
      <c r="A51" t="s">
        <v>151</v>
      </c>
      <c r="B51">
        <v>49</v>
      </c>
      <c r="C51" t="s">
        <v>289</v>
      </c>
      <c r="D51" t="s">
        <v>220</v>
      </c>
      <c r="E51" t="s">
        <v>214</v>
      </c>
      <c r="F51">
        <v>0</v>
      </c>
      <c r="G51">
        <v>1</v>
      </c>
      <c r="H51" s="1">
        <v>10065</v>
      </c>
    </row>
    <row r="52" spans="1:8" x14ac:dyDescent="0.25">
      <c r="A52" t="s">
        <v>152</v>
      </c>
      <c r="B52">
        <v>50</v>
      </c>
      <c r="C52" t="s">
        <v>290</v>
      </c>
      <c r="D52" t="s">
        <v>220</v>
      </c>
      <c r="E52" t="s">
        <v>214</v>
      </c>
      <c r="F52">
        <v>0</v>
      </c>
      <c r="G52">
        <v>1</v>
      </c>
      <c r="H52" s="1">
        <v>10066</v>
      </c>
    </row>
    <row r="53" spans="1:8" x14ac:dyDescent="0.25">
      <c r="A53" t="s">
        <v>361</v>
      </c>
      <c r="B53">
        <v>51</v>
      </c>
      <c r="C53" t="s">
        <v>360</v>
      </c>
      <c r="D53" t="s">
        <v>220</v>
      </c>
      <c r="E53" t="s">
        <v>214</v>
      </c>
      <c r="F53">
        <v>0</v>
      </c>
      <c r="G53">
        <v>1</v>
      </c>
      <c r="H53" s="1">
        <v>10067</v>
      </c>
    </row>
    <row r="54" spans="1:8" x14ac:dyDescent="0.25">
      <c r="A54" t="s">
        <v>362</v>
      </c>
      <c r="B54">
        <v>52</v>
      </c>
      <c r="C54" t="s">
        <v>291</v>
      </c>
      <c r="D54" t="s">
        <v>220</v>
      </c>
      <c r="E54" t="s">
        <v>214</v>
      </c>
      <c r="F54">
        <v>0</v>
      </c>
      <c r="G54">
        <v>1</v>
      </c>
      <c r="H54" s="1">
        <v>10068</v>
      </c>
    </row>
    <row r="55" spans="1:8" x14ac:dyDescent="0.25">
      <c r="A55" t="s">
        <v>363</v>
      </c>
      <c r="B55">
        <v>53</v>
      </c>
      <c r="C55" t="s">
        <v>292</v>
      </c>
      <c r="D55" t="s">
        <v>220</v>
      </c>
      <c r="E55" t="s">
        <v>214</v>
      </c>
      <c r="F55">
        <v>0</v>
      </c>
      <c r="G55">
        <v>1</v>
      </c>
      <c r="H55" s="1">
        <v>10073</v>
      </c>
    </row>
    <row r="56" spans="1:8" x14ac:dyDescent="0.25">
      <c r="A56" t="s">
        <v>364</v>
      </c>
      <c r="B56">
        <v>54</v>
      </c>
      <c r="C56" t="s">
        <v>293</v>
      </c>
      <c r="D56" t="s">
        <v>220</v>
      </c>
      <c r="E56" t="s">
        <v>214</v>
      </c>
      <c r="F56">
        <v>0</v>
      </c>
      <c r="G56">
        <v>1</v>
      </c>
      <c r="H56" s="1">
        <v>10074</v>
      </c>
    </row>
    <row r="57" spans="1:8" x14ac:dyDescent="0.25">
      <c r="A57" t="s">
        <v>365</v>
      </c>
      <c r="B57">
        <v>55</v>
      </c>
      <c r="C57" t="s">
        <v>294</v>
      </c>
      <c r="D57" t="s">
        <v>220</v>
      </c>
      <c r="E57" t="s">
        <v>214</v>
      </c>
      <c r="F57">
        <v>0</v>
      </c>
      <c r="G57">
        <v>1</v>
      </c>
      <c r="H57" s="1">
        <v>10075</v>
      </c>
    </row>
    <row r="58" spans="1:8" x14ac:dyDescent="0.25">
      <c r="A58" t="s">
        <v>366</v>
      </c>
      <c r="B58">
        <v>56</v>
      </c>
      <c r="C58" t="s">
        <v>295</v>
      </c>
      <c r="D58" t="s">
        <v>220</v>
      </c>
      <c r="E58" t="s">
        <v>214</v>
      </c>
      <c r="F58">
        <v>0</v>
      </c>
      <c r="G58">
        <v>1</v>
      </c>
      <c r="H58" s="1">
        <v>10077</v>
      </c>
    </row>
    <row r="59" spans="1:8" x14ac:dyDescent="0.25">
      <c r="A59" t="s">
        <v>367</v>
      </c>
      <c r="B59">
        <v>57</v>
      </c>
      <c r="C59" t="s">
        <v>296</v>
      </c>
      <c r="D59" t="s">
        <v>220</v>
      </c>
      <c r="E59" t="s">
        <v>214</v>
      </c>
      <c r="F59">
        <v>0</v>
      </c>
      <c r="G59">
        <v>1</v>
      </c>
      <c r="H59" s="1">
        <v>10078</v>
      </c>
    </row>
    <row r="60" spans="1:8" x14ac:dyDescent="0.25">
      <c r="A60" t="s">
        <v>368</v>
      </c>
      <c r="B60">
        <v>58</v>
      </c>
      <c r="C60" t="s">
        <v>297</v>
      </c>
      <c r="D60" t="s">
        <v>220</v>
      </c>
      <c r="E60" t="s">
        <v>214</v>
      </c>
      <c r="F60">
        <v>0</v>
      </c>
      <c r="G60">
        <v>1</v>
      </c>
      <c r="H60" s="1">
        <v>10079</v>
      </c>
    </row>
    <row r="61" spans="1:8" x14ac:dyDescent="0.25">
      <c r="A61" t="s">
        <v>369</v>
      </c>
      <c r="B61">
        <v>59</v>
      </c>
      <c r="C61" t="s">
        <v>298</v>
      </c>
      <c r="D61" t="s">
        <v>2</v>
      </c>
      <c r="E61" t="s">
        <v>214</v>
      </c>
      <c r="F61">
        <v>0</v>
      </c>
      <c r="G61">
        <v>2550</v>
      </c>
      <c r="H61" s="1">
        <v>30001</v>
      </c>
    </row>
    <row r="62" spans="1:8" x14ac:dyDescent="0.25">
      <c r="A62" t="s">
        <v>370</v>
      </c>
      <c r="B62">
        <v>60</v>
      </c>
      <c r="C62" t="s">
        <v>299</v>
      </c>
      <c r="D62" t="s">
        <v>2</v>
      </c>
      <c r="E62" t="s">
        <v>214</v>
      </c>
      <c r="F62">
        <v>0</v>
      </c>
      <c r="G62">
        <v>2550</v>
      </c>
      <c r="H62" s="1">
        <v>30002</v>
      </c>
    </row>
    <row r="63" spans="1:8" x14ac:dyDescent="0.25">
      <c r="A63" t="s">
        <v>372</v>
      </c>
      <c r="B63">
        <v>61</v>
      </c>
      <c r="C63" s="17" t="s">
        <v>371</v>
      </c>
      <c r="D63" t="s">
        <v>2</v>
      </c>
      <c r="E63" t="s">
        <v>214</v>
      </c>
      <c r="F63">
        <v>0</v>
      </c>
      <c r="G63">
        <v>2550</v>
      </c>
      <c r="H63" s="1">
        <v>30003</v>
      </c>
    </row>
    <row r="64" spans="1:8" x14ac:dyDescent="0.25">
      <c r="A64" t="s">
        <v>373</v>
      </c>
      <c r="B64">
        <v>62</v>
      </c>
      <c r="C64" t="s">
        <v>300</v>
      </c>
      <c r="D64" t="s">
        <v>2</v>
      </c>
      <c r="E64" t="s">
        <v>214</v>
      </c>
      <c r="F64">
        <v>0</v>
      </c>
      <c r="G64">
        <v>1000</v>
      </c>
      <c r="H64" s="1">
        <v>30004</v>
      </c>
    </row>
    <row r="65" spans="1:8" x14ac:dyDescent="0.25">
      <c r="A65" t="s">
        <v>374</v>
      </c>
      <c r="B65">
        <v>63</v>
      </c>
      <c r="C65" t="s">
        <v>301</v>
      </c>
      <c r="D65" t="s">
        <v>2</v>
      </c>
      <c r="E65" t="s">
        <v>214</v>
      </c>
      <c r="F65">
        <v>0</v>
      </c>
      <c r="G65">
        <v>4095</v>
      </c>
      <c r="H65" s="1">
        <v>30005</v>
      </c>
    </row>
    <row r="66" spans="1:8" x14ac:dyDescent="0.25">
      <c r="A66" t="s">
        <v>19</v>
      </c>
      <c r="B66">
        <v>64</v>
      </c>
      <c r="C66" t="s">
        <v>302</v>
      </c>
      <c r="D66" t="s">
        <v>2</v>
      </c>
      <c r="E66" t="s">
        <v>214</v>
      </c>
      <c r="F66">
        <v>0</v>
      </c>
      <c r="G66">
        <v>32767</v>
      </c>
      <c r="H66" s="1">
        <v>30006</v>
      </c>
    </row>
    <row r="67" spans="1:8" x14ac:dyDescent="0.25">
      <c r="A67" t="s">
        <v>375</v>
      </c>
      <c r="B67">
        <v>65</v>
      </c>
      <c r="C67" t="s">
        <v>303</v>
      </c>
      <c r="D67" t="s">
        <v>2</v>
      </c>
      <c r="E67" t="s">
        <v>214</v>
      </c>
      <c r="F67">
        <v>0</v>
      </c>
      <c r="G67">
        <v>255</v>
      </c>
      <c r="H67" s="1">
        <v>30007</v>
      </c>
    </row>
    <row r="68" spans="1:8" x14ac:dyDescent="0.25">
      <c r="A68" t="s">
        <v>377</v>
      </c>
      <c r="B68">
        <v>66</v>
      </c>
      <c r="C68" s="17" t="s">
        <v>376</v>
      </c>
      <c r="D68" t="s">
        <v>2</v>
      </c>
      <c r="E68" t="s">
        <v>214</v>
      </c>
      <c r="F68">
        <v>0</v>
      </c>
      <c r="G68">
        <v>255</v>
      </c>
      <c r="H68" s="1">
        <v>30008</v>
      </c>
    </row>
    <row r="69" spans="1:8" x14ac:dyDescent="0.25">
      <c r="A69" t="s">
        <v>380</v>
      </c>
      <c r="B69">
        <v>67</v>
      </c>
      <c r="C69" t="s">
        <v>304</v>
      </c>
      <c r="D69" t="s">
        <v>2</v>
      </c>
      <c r="E69" t="s">
        <v>214</v>
      </c>
      <c r="F69">
        <v>0</v>
      </c>
      <c r="G69">
        <v>255</v>
      </c>
      <c r="H69" s="1">
        <v>30009</v>
      </c>
    </row>
    <row r="70" spans="1:8" x14ac:dyDescent="0.25">
      <c r="A70" t="s">
        <v>378</v>
      </c>
      <c r="B70">
        <v>68</v>
      </c>
      <c r="C70" t="s">
        <v>305</v>
      </c>
      <c r="D70" t="s">
        <v>2</v>
      </c>
      <c r="E70" t="s">
        <v>214</v>
      </c>
      <c r="F70">
        <v>0</v>
      </c>
      <c r="G70">
        <v>255</v>
      </c>
      <c r="H70" s="1">
        <v>30010</v>
      </c>
    </row>
    <row r="71" spans="1:8" x14ac:dyDescent="0.25">
      <c r="A71" t="s">
        <v>379</v>
      </c>
      <c r="B71">
        <v>69</v>
      </c>
      <c r="C71" t="s">
        <v>306</v>
      </c>
      <c r="D71" t="s">
        <v>2</v>
      </c>
      <c r="E71" t="s">
        <v>214</v>
      </c>
      <c r="F71">
        <v>0</v>
      </c>
      <c r="G71">
        <v>255</v>
      </c>
      <c r="H71" s="1">
        <v>30011</v>
      </c>
    </row>
    <row r="72" spans="1:8" x14ac:dyDescent="0.25">
      <c r="A72" t="s">
        <v>381</v>
      </c>
      <c r="B72">
        <v>70</v>
      </c>
      <c r="C72" t="s">
        <v>307</v>
      </c>
      <c r="D72" t="s">
        <v>2</v>
      </c>
      <c r="E72" t="s">
        <v>214</v>
      </c>
      <c r="F72">
        <v>0</v>
      </c>
      <c r="G72">
        <v>255</v>
      </c>
      <c r="H72" s="1">
        <v>30012</v>
      </c>
    </row>
    <row r="73" spans="1:8" x14ac:dyDescent="0.25">
      <c r="A73" t="s">
        <v>382</v>
      </c>
      <c r="B73">
        <v>71</v>
      </c>
      <c r="C73" t="s">
        <v>308</v>
      </c>
      <c r="D73" t="s">
        <v>2</v>
      </c>
      <c r="E73" t="s">
        <v>214</v>
      </c>
      <c r="F73">
        <v>0</v>
      </c>
      <c r="G73">
        <v>255</v>
      </c>
      <c r="H73" s="1">
        <v>30013</v>
      </c>
    </row>
    <row r="74" spans="1:8" x14ac:dyDescent="0.25">
      <c r="A74" t="s">
        <v>383</v>
      </c>
      <c r="B74">
        <v>72</v>
      </c>
      <c r="C74" t="s">
        <v>309</v>
      </c>
      <c r="D74" t="s">
        <v>2</v>
      </c>
      <c r="E74" t="s">
        <v>214</v>
      </c>
      <c r="F74">
        <v>0</v>
      </c>
      <c r="G74">
        <v>255</v>
      </c>
      <c r="H74" s="1">
        <v>30014</v>
      </c>
    </row>
    <row r="75" spans="1:8" x14ac:dyDescent="0.25">
      <c r="A75" t="s">
        <v>384</v>
      </c>
      <c r="B75">
        <v>73</v>
      </c>
      <c r="C75" t="s">
        <v>310</v>
      </c>
      <c r="D75" t="s">
        <v>2</v>
      </c>
      <c r="E75" t="s">
        <v>214</v>
      </c>
      <c r="F75">
        <v>0</v>
      </c>
      <c r="G75">
        <v>255</v>
      </c>
      <c r="H75" s="1">
        <v>30015</v>
      </c>
    </row>
    <row r="76" spans="1:8" x14ac:dyDescent="0.25">
      <c r="A76" t="s">
        <v>385</v>
      </c>
      <c r="B76">
        <v>74</v>
      </c>
      <c r="C76" t="s">
        <v>311</v>
      </c>
      <c r="D76" t="s">
        <v>2</v>
      </c>
      <c r="E76" t="s">
        <v>214</v>
      </c>
      <c r="F76">
        <v>1</v>
      </c>
      <c r="G76">
        <v>20</v>
      </c>
      <c r="H76" s="1">
        <v>30016</v>
      </c>
    </row>
    <row r="77" spans="1:8" x14ac:dyDescent="0.25">
      <c r="A77" t="s">
        <v>386</v>
      </c>
      <c r="B77">
        <v>75</v>
      </c>
      <c r="C77" t="s">
        <v>312</v>
      </c>
      <c r="D77" t="s">
        <v>2</v>
      </c>
      <c r="E77" t="s">
        <v>214</v>
      </c>
      <c r="F77">
        <v>0</v>
      </c>
      <c r="G77">
        <v>255</v>
      </c>
      <c r="H77" s="1">
        <v>30017</v>
      </c>
    </row>
    <row r="78" spans="1:8" x14ac:dyDescent="0.25">
      <c r="A78" t="s">
        <v>387</v>
      </c>
      <c r="B78">
        <v>75</v>
      </c>
      <c r="C78" t="s">
        <v>313</v>
      </c>
      <c r="D78" t="s">
        <v>388</v>
      </c>
      <c r="E78" t="s">
        <v>214</v>
      </c>
      <c r="H78" s="1" t="s">
        <v>389</v>
      </c>
    </row>
    <row r="79" spans="1:8" x14ac:dyDescent="0.25">
      <c r="A79" t="s">
        <v>390</v>
      </c>
      <c r="B79">
        <v>76</v>
      </c>
      <c r="C79" t="s">
        <v>314</v>
      </c>
      <c r="D79" t="s">
        <v>391</v>
      </c>
      <c r="E79" t="s">
        <v>214</v>
      </c>
      <c r="H79" s="1" t="s">
        <v>392</v>
      </c>
    </row>
    <row r="80" spans="1:8" x14ac:dyDescent="0.25">
      <c r="A80" t="s">
        <v>393</v>
      </c>
      <c r="B80">
        <v>77</v>
      </c>
      <c r="C80" t="s">
        <v>315</v>
      </c>
      <c r="D80" t="s">
        <v>394</v>
      </c>
      <c r="E80" t="s">
        <v>214</v>
      </c>
      <c r="H80" s="1" t="s">
        <v>395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topLeftCell="E1" workbookViewId="0">
      <selection activeCell="Z2" sqref="Z2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23" width="6" style="1" bestFit="1" customWidth="1"/>
    <col min="25" max="25" width="31.5703125" bestFit="1" customWidth="1"/>
    <col min="26" max="26" width="10.28515625" style="4" bestFit="1" customWidth="1"/>
  </cols>
  <sheetData>
    <row r="1" spans="1:26" s="12" customFormat="1" x14ac:dyDescent="0.25">
      <c r="A1" s="10" t="s">
        <v>191</v>
      </c>
      <c r="B1" s="10" t="s">
        <v>192</v>
      </c>
      <c r="C1" s="10" t="s">
        <v>193</v>
      </c>
      <c r="D1" s="10" t="s">
        <v>194</v>
      </c>
      <c r="E1" s="10" t="s">
        <v>195</v>
      </c>
      <c r="F1" s="10" t="s">
        <v>196</v>
      </c>
      <c r="G1" s="10" t="s">
        <v>197</v>
      </c>
      <c r="H1" s="11" t="s">
        <v>198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Y1" s="13" t="s">
        <v>199</v>
      </c>
      <c r="Z1" s="14" t="s">
        <v>402</v>
      </c>
    </row>
    <row r="2" spans="1:26" s="12" customFormat="1" x14ac:dyDescent="0.25">
      <c r="A2" s="10"/>
      <c r="B2" s="10"/>
      <c r="C2" s="10"/>
      <c r="D2" s="10"/>
      <c r="E2" s="10"/>
      <c r="F2" s="10"/>
      <c r="G2" s="10"/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3">
        <v>7</v>
      </c>
      <c r="O2" s="3">
        <v>8</v>
      </c>
      <c r="P2" s="3">
        <v>9</v>
      </c>
      <c r="Q2" s="3">
        <v>10</v>
      </c>
      <c r="R2" s="3">
        <v>11</v>
      </c>
      <c r="S2" s="3">
        <v>12</v>
      </c>
      <c r="T2" s="3">
        <v>13</v>
      </c>
      <c r="U2" s="3">
        <v>14</v>
      </c>
      <c r="V2" s="3">
        <v>15</v>
      </c>
      <c r="W2" s="3">
        <v>16</v>
      </c>
      <c r="Y2" s="13" t="s">
        <v>200</v>
      </c>
      <c r="Z2" s="15" t="s">
        <v>401</v>
      </c>
    </row>
    <row r="3" spans="1:26" x14ac:dyDescent="0.25">
      <c r="A3" t="s">
        <v>397</v>
      </c>
      <c r="B3">
        <v>1</v>
      </c>
      <c r="C3" t="s">
        <v>398</v>
      </c>
      <c r="D3" t="s">
        <v>203</v>
      </c>
      <c r="E3" t="s">
        <v>214</v>
      </c>
      <c r="F3">
        <v>0</v>
      </c>
      <c r="G3">
        <v>16</v>
      </c>
      <c r="H3" s="1">
        <v>30257</v>
      </c>
      <c r="I3" s="1">
        <f>H3+8</f>
        <v>30265</v>
      </c>
      <c r="J3" s="1">
        <f t="shared" ref="J3:W3" si="0">I3+8</f>
        <v>30273</v>
      </c>
      <c r="K3" s="1">
        <f t="shared" si="0"/>
        <v>30281</v>
      </c>
      <c r="L3" s="1">
        <f t="shared" si="0"/>
        <v>30289</v>
      </c>
      <c r="M3" s="1">
        <f t="shared" si="0"/>
        <v>30297</v>
      </c>
      <c r="N3" s="1">
        <f t="shared" si="0"/>
        <v>30305</v>
      </c>
      <c r="O3" s="1">
        <f t="shared" si="0"/>
        <v>30313</v>
      </c>
      <c r="P3" s="1">
        <f t="shared" si="0"/>
        <v>30321</v>
      </c>
      <c r="Q3" s="1">
        <f t="shared" si="0"/>
        <v>30329</v>
      </c>
      <c r="R3" s="1">
        <f t="shared" si="0"/>
        <v>30337</v>
      </c>
      <c r="S3" s="1">
        <f t="shared" si="0"/>
        <v>30345</v>
      </c>
      <c r="T3" s="1">
        <f t="shared" si="0"/>
        <v>30353</v>
      </c>
      <c r="U3" s="1">
        <f t="shared" si="0"/>
        <v>30361</v>
      </c>
      <c r="V3" s="1">
        <f t="shared" si="0"/>
        <v>30369</v>
      </c>
      <c r="W3" s="1">
        <f t="shared" si="0"/>
        <v>30377</v>
      </c>
      <c r="Y3" s="13" t="s">
        <v>205</v>
      </c>
      <c r="Z3" s="4">
        <v>3</v>
      </c>
    </row>
    <row r="4" spans="1:26" x14ac:dyDescent="0.25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Y4" s="13" t="s">
        <v>206</v>
      </c>
      <c r="Z4" s="4" t="s">
        <v>207</v>
      </c>
    </row>
    <row r="5" spans="1:26" x14ac:dyDescent="0.25">
      <c r="Y5" s="13" t="s">
        <v>208</v>
      </c>
      <c r="Z5" s="4" t="s">
        <v>209</v>
      </c>
    </row>
    <row r="6" spans="1:26" x14ac:dyDescent="0.25">
      <c r="Y6" s="13" t="s">
        <v>210</v>
      </c>
      <c r="Z6" s="4">
        <v>20</v>
      </c>
    </row>
    <row r="7" spans="1:26" x14ac:dyDescent="0.25">
      <c r="Y7" s="13" t="s">
        <v>211</v>
      </c>
      <c r="Z7" s="4">
        <v>1</v>
      </c>
    </row>
    <row r="8" spans="1:26" x14ac:dyDescent="0.25">
      <c r="Y8" s="13" t="s">
        <v>212</v>
      </c>
      <c r="Z8" s="4" t="s">
        <v>400</v>
      </c>
    </row>
    <row r="9" spans="1:26" x14ac:dyDescent="0.25">
      <c r="Y9" s="13" t="s">
        <v>213</v>
      </c>
      <c r="Z9" s="4">
        <v>116</v>
      </c>
    </row>
    <row r="10" spans="1:26" x14ac:dyDescent="0.25">
      <c r="Y10" s="13" t="s">
        <v>227</v>
      </c>
      <c r="Z10" s="4">
        <v>1</v>
      </c>
    </row>
  </sheetData>
  <mergeCells count="8">
    <mergeCell ref="G1:G2"/>
    <mergeCell ref="H1:W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5342F3F-CB73-4A8D-9D27-88EBEB681909}"/>
</file>

<file path=customXml/itemProps2.xml><?xml version="1.0" encoding="utf-8"?>
<ds:datastoreItem xmlns:ds="http://schemas.openxmlformats.org/officeDocument/2006/customXml" ds:itemID="{4487A825-C794-4AF5-98CD-C502193B18DA}"/>
</file>

<file path=customXml/itemProps3.xml><?xml version="1.0" encoding="utf-8"?>
<ds:datastoreItem xmlns:ds="http://schemas.openxmlformats.org/officeDocument/2006/customXml" ds:itemID="{06C37F5F-2303-4F1C-9CAC-021A8F6C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T2O</vt:lpstr>
      <vt:lpstr>O2T</vt:lpstr>
      <vt:lpstr>cylinder (74h)</vt:lpstr>
      <vt:lpstr>ignition (72h)</vt:lpstr>
      <vt:lpstr>ignlabel (73h)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2013-11-11T14:37:44Z</dcterms:modified>
</cp:coreProperties>
</file>